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9126" codeName="{526614CA-9299-8FEA-EDB2-C8A7E91AD4E6}"/>
  <workbookPr codeName="ThisWorkbook" defaultThemeVersion="124226"/>
  <mc:AlternateContent xmlns:mc="http://schemas.openxmlformats.org/markup-compatibility/2006">
    <mc:Choice Requires="x15">
      <x15ac:absPath xmlns:x15ac="http://schemas.microsoft.com/office/spreadsheetml/2010/11/ac" url="C:\Users\wzbl\Desktop\"/>
    </mc:Choice>
  </mc:AlternateContent>
  <xr:revisionPtr revIDLastSave="0" documentId="13_ncr:1_{B04A6FCC-826D-44AD-96BB-B3C18437EB69}" xr6:coauthVersionLast="31" xr6:coauthVersionMax="31" xr10:uidLastSave="{00000000-0000-0000-0000-000000000000}"/>
  <bookViews>
    <workbookView xWindow="-6045" yWindow="0" windowWidth="20730" windowHeight="7095" activeTab="2" xr2:uid="{00000000-000D-0000-FFFF-FFFF00000000}"/>
  </bookViews>
  <sheets>
    <sheet name="复制" sheetId="2" r:id="rId1"/>
    <sheet name="列表" sheetId="9" r:id="rId2"/>
    <sheet name="奖" sheetId="11" r:id="rId3"/>
    <sheet name="奖项" sheetId="13" r:id="rId4"/>
  </sheets>
  <functionGroups builtInGroupCount="19"/>
  <calcPr calcId="179017"/>
</workbook>
</file>

<file path=xl/calcChain.xml><?xml version="1.0" encoding="utf-8"?>
<calcChain xmlns="http://schemas.openxmlformats.org/spreadsheetml/2006/main">
  <c r="P23" i="11" l="1"/>
  <c r="N23" i="11"/>
  <c r="L23" i="11"/>
  <c r="J23" i="11"/>
  <c r="H23" i="11"/>
  <c r="F23" i="11"/>
  <c r="D23" i="11"/>
  <c r="U23" i="11" s="1"/>
  <c r="W16" i="11"/>
  <c r="P16" i="11"/>
  <c r="N16" i="11"/>
  <c r="L16" i="11"/>
  <c r="J16" i="11"/>
  <c r="H16" i="11"/>
  <c r="F16" i="11"/>
  <c r="D16" i="11"/>
  <c r="U16" i="11" s="1"/>
  <c r="W13" i="11"/>
  <c r="P13" i="11"/>
  <c r="N13" i="11"/>
  <c r="L13" i="11"/>
  <c r="R13" i="11" s="1"/>
  <c r="J13" i="11"/>
  <c r="H13" i="11"/>
  <c r="F13" i="11"/>
  <c r="D13" i="11"/>
  <c r="V13" i="11" s="1"/>
  <c r="U7" i="11"/>
  <c r="P7" i="11"/>
  <c r="N7" i="11"/>
  <c r="L7" i="11"/>
  <c r="R7" i="11" s="1"/>
  <c r="J7" i="11"/>
  <c r="H7" i="11"/>
  <c r="F7" i="11"/>
  <c r="D7" i="11"/>
  <c r="W7" i="11" s="1"/>
  <c r="U12" i="11"/>
  <c r="R12" i="11"/>
  <c r="P12" i="11"/>
  <c r="N12" i="11"/>
  <c r="L12" i="11"/>
  <c r="J12" i="11"/>
  <c r="H12" i="11"/>
  <c r="F12" i="11"/>
  <c r="D12" i="11"/>
  <c r="W12" i="11" s="1"/>
  <c r="U9" i="11"/>
  <c r="P9" i="11"/>
  <c r="N9" i="11"/>
  <c r="L9" i="11"/>
  <c r="J9" i="11"/>
  <c r="H9" i="11"/>
  <c r="F9" i="11"/>
  <c r="D9" i="11"/>
  <c r="W9" i="11" s="1"/>
  <c r="P6" i="11"/>
  <c r="N6" i="11"/>
  <c r="L6" i="11"/>
  <c r="J6" i="11"/>
  <c r="H6" i="11"/>
  <c r="F6" i="11"/>
  <c r="D6" i="11"/>
  <c r="U6" i="11" s="1"/>
  <c r="P11" i="11"/>
  <c r="N11" i="11"/>
  <c r="L11" i="11"/>
  <c r="J11" i="11"/>
  <c r="H11" i="11"/>
  <c r="F11" i="11"/>
  <c r="D11" i="11"/>
  <c r="R11" i="11" s="1"/>
  <c r="W20" i="11"/>
  <c r="P20" i="11"/>
  <c r="N20" i="11"/>
  <c r="L20" i="11"/>
  <c r="J20" i="11"/>
  <c r="H20" i="11"/>
  <c r="F20" i="11"/>
  <c r="D20" i="11"/>
  <c r="U20" i="11" s="1"/>
  <c r="W21" i="11"/>
  <c r="P21" i="11"/>
  <c r="N21" i="11"/>
  <c r="L21" i="11"/>
  <c r="J21" i="11"/>
  <c r="H21" i="11"/>
  <c r="F21" i="11"/>
  <c r="D21" i="11"/>
  <c r="U21" i="11" s="1"/>
  <c r="W17" i="11"/>
  <c r="P17" i="11"/>
  <c r="N17" i="11"/>
  <c r="L17" i="11"/>
  <c r="R17" i="11" s="1"/>
  <c r="J17" i="11"/>
  <c r="H17" i="11"/>
  <c r="F17" i="11"/>
  <c r="D17" i="11"/>
  <c r="V17" i="11" s="1"/>
  <c r="U19" i="11"/>
  <c r="P19" i="11"/>
  <c r="N19" i="11"/>
  <c r="L19" i="11"/>
  <c r="R19" i="11" s="1"/>
  <c r="J19" i="11"/>
  <c r="H19" i="11"/>
  <c r="F19" i="11"/>
  <c r="D19" i="11"/>
  <c r="W19" i="11" s="1"/>
  <c r="U10" i="11"/>
  <c r="R10" i="11"/>
  <c r="P10" i="11"/>
  <c r="N10" i="11"/>
  <c r="L10" i="11"/>
  <c r="J10" i="11"/>
  <c r="H10" i="11"/>
  <c r="F10" i="11"/>
  <c r="D10" i="11"/>
  <c r="W10" i="11" s="1"/>
  <c r="U8" i="11"/>
  <c r="P8" i="11"/>
  <c r="N8" i="11"/>
  <c r="L8" i="11"/>
  <c r="J8" i="11"/>
  <c r="H8" i="11"/>
  <c r="F8" i="11"/>
  <c r="D8" i="11"/>
  <c r="W8" i="11" s="1"/>
  <c r="P22" i="11"/>
  <c r="N22" i="11"/>
  <c r="L22" i="11"/>
  <c r="J22" i="11"/>
  <c r="H22" i="11"/>
  <c r="F22" i="11"/>
  <c r="D22" i="11"/>
  <c r="U22" i="11" s="1"/>
  <c r="P18" i="11"/>
  <c r="N18" i="11"/>
  <c r="L18" i="11"/>
  <c r="J18" i="11"/>
  <c r="H18" i="11"/>
  <c r="F18" i="11"/>
  <c r="D18" i="11"/>
  <c r="R18" i="11" s="1"/>
  <c r="W4" i="11"/>
  <c r="P4" i="11"/>
  <c r="N4" i="11"/>
  <c r="L4" i="11"/>
  <c r="J4" i="11"/>
  <c r="H4" i="11"/>
  <c r="F4" i="11"/>
  <c r="D4" i="11"/>
  <c r="U4" i="11" s="1"/>
  <c r="W3" i="11"/>
  <c r="P3" i="11"/>
  <c r="N3" i="11"/>
  <c r="L3" i="11"/>
  <c r="J3" i="11"/>
  <c r="H3" i="11"/>
  <c r="F3" i="11"/>
  <c r="D3" i="11"/>
  <c r="U3" i="11" s="1"/>
  <c r="W5" i="11"/>
  <c r="P5" i="11"/>
  <c r="N5" i="11"/>
  <c r="L5" i="11"/>
  <c r="R5" i="11" s="1"/>
  <c r="J5" i="11"/>
  <c r="H5" i="11"/>
  <c r="F5" i="11"/>
  <c r="D5" i="11"/>
  <c r="V5" i="11" s="1"/>
  <c r="U14" i="11"/>
  <c r="P14" i="11"/>
  <c r="N14" i="11"/>
  <c r="L14" i="11"/>
  <c r="R14" i="11" s="1"/>
  <c r="J14" i="11"/>
  <c r="H14" i="11"/>
  <c r="F14" i="11"/>
  <c r="D14" i="11"/>
  <c r="W14" i="11" s="1"/>
  <c r="U15" i="11"/>
  <c r="R15" i="11"/>
  <c r="P15" i="11"/>
  <c r="N15" i="11"/>
  <c r="L15" i="11"/>
  <c r="J15" i="11"/>
  <c r="H15" i="11"/>
  <c r="F15" i="11"/>
  <c r="D15" i="11"/>
  <c r="W15" i="11" s="1"/>
  <c r="V11" i="11" l="1"/>
  <c r="V15" i="11"/>
  <c r="U5" i="11"/>
  <c r="R3" i="11"/>
  <c r="W18" i="11"/>
  <c r="V10" i="11"/>
  <c r="U17" i="11"/>
  <c r="R21" i="11"/>
  <c r="W11" i="11"/>
  <c r="V12" i="11"/>
  <c r="U13" i="11"/>
  <c r="R16" i="11"/>
  <c r="V3" i="11"/>
  <c r="U18" i="11"/>
  <c r="R22" i="11"/>
  <c r="V21" i="11"/>
  <c r="U11" i="11"/>
  <c r="R6" i="11"/>
  <c r="V16" i="11"/>
  <c r="V18" i="11"/>
  <c r="V22" i="11"/>
  <c r="V6" i="11"/>
  <c r="V14" i="11"/>
  <c r="R4" i="11"/>
  <c r="W22" i="11"/>
  <c r="V19" i="11"/>
  <c r="R20" i="11"/>
  <c r="W6" i="11"/>
  <c r="V7" i="11"/>
  <c r="R23" i="11"/>
  <c r="V4" i="11"/>
  <c r="R8" i="11"/>
  <c r="V20" i="11"/>
  <c r="R9" i="11"/>
  <c r="V23" i="11"/>
  <c r="V8" i="11"/>
  <c r="V9" i="11"/>
  <c r="W23" i="11"/>
  <c r="Y112" i="11"/>
  <c r="U45" i="9" l="1"/>
  <c r="U46" i="9"/>
  <c r="U53" i="9"/>
  <c r="U54" i="9"/>
  <c r="U61" i="9"/>
  <c r="U62" i="9"/>
  <c r="U69" i="9"/>
  <c r="U70" i="9"/>
  <c r="U77" i="9"/>
  <c r="U78" i="9"/>
  <c r="U85" i="9"/>
  <c r="U86" i="9"/>
  <c r="U93" i="9"/>
  <c r="U94" i="9"/>
  <c r="U101" i="9"/>
  <c r="U102" i="9"/>
  <c r="T45" i="9"/>
  <c r="T46" i="9"/>
  <c r="T53" i="9"/>
  <c r="T54" i="9"/>
  <c r="T61" i="9"/>
  <c r="T62" i="9"/>
  <c r="T69" i="9"/>
  <c r="T70" i="9"/>
  <c r="T77" i="9"/>
  <c r="T78" i="9"/>
  <c r="T85" i="9"/>
  <c r="T86" i="9"/>
  <c r="T93" i="9"/>
  <c r="T94" i="9"/>
  <c r="T101" i="9"/>
  <c r="T102" i="9"/>
  <c r="S45" i="9"/>
  <c r="S46" i="9"/>
  <c r="S53" i="9"/>
  <c r="S54" i="9"/>
  <c r="S61" i="9"/>
  <c r="S62" i="9"/>
  <c r="S69" i="9"/>
  <c r="S70" i="9"/>
  <c r="S77" i="9"/>
  <c r="S78" i="9"/>
  <c r="S85" i="9"/>
  <c r="S86" i="9"/>
  <c r="S93" i="9"/>
  <c r="S94" i="9"/>
  <c r="S101" i="9"/>
  <c r="S102" i="9"/>
  <c r="N4" i="9"/>
  <c r="N5" i="9"/>
  <c r="N6" i="9"/>
  <c r="N7" i="9"/>
  <c r="N8" i="9"/>
  <c r="N9" i="9"/>
  <c r="N10" i="9"/>
  <c r="N11" i="9"/>
  <c r="N12" i="9"/>
  <c r="N13" i="9"/>
  <c r="N14" i="9"/>
  <c r="N15" i="9"/>
  <c r="N16" i="9"/>
  <c r="N17" i="9"/>
  <c r="N18" i="9"/>
  <c r="N19" i="9"/>
  <c r="N20" i="9"/>
  <c r="N21" i="9"/>
  <c r="N22" i="9"/>
  <c r="N23" i="9"/>
  <c r="N24" i="9"/>
  <c r="N25" i="9"/>
  <c r="N26" i="9"/>
  <c r="N27" i="9"/>
  <c r="N28" i="9"/>
  <c r="N29" i="9"/>
  <c r="N30" i="9"/>
  <c r="N31" i="9"/>
  <c r="N32" i="9"/>
  <c r="N33" i="9"/>
  <c r="N34" i="9"/>
  <c r="N35" i="9"/>
  <c r="N36" i="9"/>
  <c r="N37" i="9"/>
  <c r="N38" i="9"/>
  <c r="N39" i="9"/>
  <c r="N40" i="9"/>
  <c r="N41" i="9"/>
  <c r="N42" i="9"/>
  <c r="N43" i="9"/>
  <c r="N44" i="9"/>
  <c r="N45" i="9"/>
  <c r="N46" i="9"/>
  <c r="N47" i="9"/>
  <c r="N48" i="9"/>
  <c r="N49" i="9"/>
  <c r="N50" i="9"/>
  <c r="N51" i="9"/>
  <c r="N52" i="9"/>
  <c r="N53" i="9"/>
  <c r="N54" i="9"/>
  <c r="N55" i="9"/>
  <c r="N56" i="9"/>
  <c r="N57" i="9"/>
  <c r="N58" i="9"/>
  <c r="N59" i="9"/>
  <c r="N60" i="9"/>
  <c r="N61" i="9"/>
  <c r="N62" i="9"/>
  <c r="N63" i="9"/>
  <c r="N64" i="9"/>
  <c r="N65" i="9"/>
  <c r="N66" i="9"/>
  <c r="N67" i="9"/>
  <c r="N68" i="9"/>
  <c r="N69" i="9"/>
  <c r="N70" i="9"/>
  <c r="N71" i="9"/>
  <c r="N72" i="9"/>
  <c r="N73" i="9"/>
  <c r="N74" i="9"/>
  <c r="N75" i="9"/>
  <c r="N76" i="9"/>
  <c r="N77" i="9"/>
  <c r="N78" i="9"/>
  <c r="N79" i="9"/>
  <c r="N80" i="9"/>
  <c r="N81" i="9"/>
  <c r="N82" i="9"/>
  <c r="N83" i="9"/>
  <c r="N84" i="9"/>
  <c r="N85" i="9"/>
  <c r="N86" i="9"/>
  <c r="N87" i="9"/>
  <c r="N88" i="9"/>
  <c r="N89" i="9"/>
  <c r="N90" i="9"/>
  <c r="N91" i="9"/>
  <c r="N92" i="9"/>
  <c r="N93" i="9"/>
  <c r="N94" i="9"/>
  <c r="N95" i="9"/>
  <c r="N96" i="9"/>
  <c r="N97" i="9"/>
  <c r="N98" i="9"/>
  <c r="N99" i="9"/>
  <c r="N100" i="9"/>
  <c r="N101" i="9"/>
  <c r="N102" i="9"/>
  <c r="N3" i="9"/>
  <c r="L4" i="9"/>
  <c r="L5" i="9"/>
  <c r="L6" i="9"/>
  <c r="L7" i="9"/>
  <c r="L8" i="9"/>
  <c r="L9" i="9"/>
  <c r="L10" i="9"/>
  <c r="L11" i="9"/>
  <c r="L12" i="9"/>
  <c r="L13" i="9"/>
  <c r="L14" i="9"/>
  <c r="L15" i="9"/>
  <c r="L16" i="9"/>
  <c r="L17" i="9"/>
  <c r="L18" i="9"/>
  <c r="L19" i="9"/>
  <c r="L20" i="9"/>
  <c r="L21" i="9"/>
  <c r="L22" i="9"/>
  <c r="L23" i="9"/>
  <c r="L24" i="9"/>
  <c r="L25" i="9"/>
  <c r="L26" i="9"/>
  <c r="L27" i="9"/>
  <c r="L28" i="9"/>
  <c r="L29" i="9"/>
  <c r="L30" i="9"/>
  <c r="L31" i="9"/>
  <c r="L32" i="9"/>
  <c r="L33" i="9"/>
  <c r="L34" i="9"/>
  <c r="L35" i="9"/>
  <c r="L36" i="9"/>
  <c r="L37" i="9"/>
  <c r="L38" i="9"/>
  <c r="L39" i="9"/>
  <c r="L40" i="9"/>
  <c r="L41" i="9"/>
  <c r="L42" i="9"/>
  <c r="L43" i="9"/>
  <c r="L44" i="9"/>
  <c r="L45" i="9"/>
  <c r="L46" i="9"/>
  <c r="L47" i="9"/>
  <c r="L48" i="9"/>
  <c r="L49" i="9"/>
  <c r="L50" i="9"/>
  <c r="L51" i="9"/>
  <c r="L52" i="9"/>
  <c r="L53" i="9"/>
  <c r="L54" i="9"/>
  <c r="L55" i="9"/>
  <c r="L56" i="9"/>
  <c r="L57" i="9"/>
  <c r="L58" i="9"/>
  <c r="L59" i="9"/>
  <c r="L60" i="9"/>
  <c r="L61" i="9"/>
  <c r="L62" i="9"/>
  <c r="L63" i="9"/>
  <c r="L64" i="9"/>
  <c r="L65" i="9"/>
  <c r="L66" i="9"/>
  <c r="L67" i="9"/>
  <c r="L68" i="9"/>
  <c r="L69" i="9"/>
  <c r="L70" i="9"/>
  <c r="L71" i="9"/>
  <c r="L72" i="9"/>
  <c r="L73" i="9"/>
  <c r="L74" i="9"/>
  <c r="L75" i="9"/>
  <c r="L76" i="9"/>
  <c r="L77" i="9"/>
  <c r="L78" i="9"/>
  <c r="L79" i="9"/>
  <c r="L80" i="9"/>
  <c r="L81" i="9"/>
  <c r="L82" i="9"/>
  <c r="L83" i="9"/>
  <c r="L84" i="9"/>
  <c r="L85" i="9"/>
  <c r="L86" i="9"/>
  <c r="L87" i="9"/>
  <c r="L88" i="9"/>
  <c r="L89" i="9"/>
  <c r="L90" i="9"/>
  <c r="L91" i="9"/>
  <c r="L92" i="9"/>
  <c r="L93" i="9"/>
  <c r="L94" i="9"/>
  <c r="L95" i="9"/>
  <c r="L96" i="9"/>
  <c r="L97" i="9"/>
  <c r="L98" i="9"/>
  <c r="L99" i="9"/>
  <c r="L100" i="9"/>
  <c r="L101" i="9"/>
  <c r="L102" i="9"/>
  <c r="L3" i="9"/>
  <c r="J4" i="9"/>
  <c r="J5" i="9"/>
  <c r="J6" i="9"/>
  <c r="J7" i="9"/>
  <c r="J8" i="9"/>
  <c r="J9" i="9"/>
  <c r="J10" i="9"/>
  <c r="J11" i="9"/>
  <c r="J12" i="9"/>
  <c r="J13" i="9"/>
  <c r="J14" i="9"/>
  <c r="J15" i="9"/>
  <c r="J16" i="9"/>
  <c r="J17" i="9"/>
  <c r="J18" i="9"/>
  <c r="J19" i="9"/>
  <c r="J20" i="9"/>
  <c r="J21" i="9"/>
  <c r="J22" i="9"/>
  <c r="J23" i="9"/>
  <c r="J24" i="9"/>
  <c r="J25" i="9"/>
  <c r="J26" i="9"/>
  <c r="J27" i="9"/>
  <c r="J28" i="9"/>
  <c r="J29" i="9"/>
  <c r="J30" i="9"/>
  <c r="J31" i="9"/>
  <c r="J32" i="9"/>
  <c r="J33" i="9"/>
  <c r="J34" i="9"/>
  <c r="J35" i="9"/>
  <c r="J36" i="9"/>
  <c r="J37" i="9"/>
  <c r="J38" i="9"/>
  <c r="J39" i="9"/>
  <c r="J40" i="9"/>
  <c r="J41" i="9"/>
  <c r="J42" i="9"/>
  <c r="J43" i="9"/>
  <c r="J44" i="9"/>
  <c r="J45" i="9"/>
  <c r="J46" i="9"/>
  <c r="J47" i="9"/>
  <c r="J48" i="9"/>
  <c r="J49" i="9"/>
  <c r="J50" i="9"/>
  <c r="J51" i="9"/>
  <c r="J52" i="9"/>
  <c r="J53" i="9"/>
  <c r="J54" i="9"/>
  <c r="J55" i="9"/>
  <c r="J56" i="9"/>
  <c r="J57" i="9"/>
  <c r="J58" i="9"/>
  <c r="J59" i="9"/>
  <c r="J60" i="9"/>
  <c r="J61" i="9"/>
  <c r="J62" i="9"/>
  <c r="J63" i="9"/>
  <c r="J64" i="9"/>
  <c r="J65" i="9"/>
  <c r="J66" i="9"/>
  <c r="J67" i="9"/>
  <c r="J68" i="9"/>
  <c r="J69" i="9"/>
  <c r="J70" i="9"/>
  <c r="J71" i="9"/>
  <c r="J72" i="9"/>
  <c r="J73" i="9"/>
  <c r="J74" i="9"/>
  <c r="J75" i="9"/>
  <c r="J76" i="9"/>
  <c r="J77" i="9"/>
  <c r="J78" i="9"/>
  <c r="J79" i="9"/>
  <c r="J80" i="9"/>
  <c r="J81" i="9"/>
  <c r="J82" i="9"/>
  <c r="J83" i="9"/>
  <c r="J84" i="9"/>
  <c r="J85" i="9"/>
  <c r="J86" i="9"/>
  <c r="J87" i="9"/>
  <c r="J88" i="9"/>
  <c r="J89" i="9"/>
  <c r="J90" i="9"/>
  <c r="J91" i="9"/>
  <c r="J92" i="9"/>
  <c r="J93" i="9"/>
  <c r="J94" i="9"/>
  <c r="J95" i="9"/>
  <c r="J96" i="9"/>
  <c r="J97" i="9"/>
  <c r="J98" i="9"/>
  <c r="J99" i="9"/>
  <c r="J100" i="9"/>
  <c r="J101" i="9"/>
  <c r="J102" i="9"/>
  <c r="J3" i="9"/>
  <c r="H4" i="9"/>
  <c r="H5" i="9"/>
  <c r="H6" i="9"/>
  <c r="H7" i="9"/>
  <c r="H8" i="9"/>
  <c r="H9" i="9"/>
  <c r="H10" i="9"/>
  <c r="H11" i="9"/>
  <c r="H12" i="9"/>
  <c r="H13" i="9"/>
  <c r="H14" i="9"/>
  <c r="H15" i="9"/>
  <c r="H16" i="9"/>
  <c r="H17" i="9"/>
  <c r="H18" i="9"/>
  <c r="H19" i="9"/>
  <c r="H20" i="9"/>
  <c r="H21" i="9"/>
  <c r="H22" i="9"/>
  <c r="H23" i="9"/>
  <c r="H24" i="9"/>
  <c r="H25" i="9"/>
  <c r="H26" i="9"/>
  <c r="H27" i="9"/>
  <c r="H28" i="9"/>
  <c r="H29" i="9"/>
  <c r="H30" i="9"/>
  <c r="H31" i="9"/>
  <c r="H32" i="9"/>
  <c r="H33" i="9"/>
  <c r="H34" i="9"/>
  <c r="H35" i="9"/>
  <c r="H36" i="9"/>
  <c r="H37" i="9"/>
  <c r="H38" i="9"/>
  <c r="H39" i="9"/>
  <c r="H40" i="9"/>
  <c r="H41" i="9"/>
  <c r="H42" i="9"/>
  <c r="H43" i="9"/>
  <c r="H44" i="9"/>
  <c r="H45" i="9"/>
  <c r="H46" i="9"/>
  <c r="H47" i="9"/>
  <c r="H48" i="9"/>
  <c r="H49" i="9"/>
  <c r="H50" i="9"/>
  <c r="H51" i="9"/>
  <c r="H52" i="9"/>
  <c r="H53" i="9"/>
  <c r="H54" i="9"/>
  <c r="H55" i="9"/>
  <c r="H56" i="9"/>
  <c r="H57" i="9"/>
  <c r="H58" i="9"/>
  <c r="H59" i="9"/>
  <c r="H60" i="9"/>
  <c r="H61" i="9"/>
  <c r="H62" i="9"/>
  <c r="H63" i="9"/>
  <c r="H64" i="9"/>
  <c r="H65" i="9"/>
  <c r="H66" i="9"/>
  <c r="H67" i="9"/>
  <c r="H68" i="9"/>
  <c r="H69" i="9"/>
  <c r="H70" i="9"/>
  <c r="H71" i="9"/>
  <c r="H72" i="9"/>
  <c r="H73" i="9"/>
  <c r="H74" i="9"/>
  <c r="H75" i="9"/>
  <c r="H76" i="9"/>
  <c r="H77" i="9"/>
  <c r="H78" i="9"/>
  <c r="H79" i="9"/>
  <c r="H80" i="9"/>
  <c r="H81" i="9"/>
  <c r="H82" i="9"/>
  <c r="H83" i="9"/>
  <c r="H84" i="9"/>
  <c r="H85" i="9"/>
  <c r="H86" i="9"/>
  <c r="H87" i="9"/>
  <c r="H88" i="9"/>
  <c r="H89" i="9"/>
  <c r="H90" i="9"/>
  <c r="H91" i="9"/>
  <c r="H92" i="9"/>
  <c r="H93" i="9"/>
  <c r="H94" i="9"/>
  <c r="H95" i="9"/>
  <c r="H96" i="9"/>
  <c r="H97" i="9"/>
  <c r="H98" i="9"/>
  <c r="H99" i="9"/>
  <c r="H100" i="9"/>
  <c r="H101" i="9"/>
  <c r="H102" i="9"/>
  <c r="H3" i="9"/>
  <c r="F4" i="9"/>
  <c r="F5" i="9"/>
  <c r="F6" i="9"/>
  <c r="F7" i="9"/>
  <c r="F8" i="9"/>
  <c r="F9" i="9"/>
  <c r="F10" i="9"/>
  <c r="F11" i="9"/>
  <c r="F12" i="9"/>
  <c r="F13" i="9"/>
  <c r="F14" i="9"/>
  <c r="F15" i="9"/>
  <c r="F16" i="9"/>
  <c r="F17" i="9"/>
  <c r="F18" i="9"/>
  <c r="F19" i="9"/>
  <c r="F20" i="9"/>
  <c r="F21" i="9"/>
  <c r="F22" i="9"/>
  <c r="F23" i="9"/>
  <c r="F24" i="9"/>
  <c r="F25" i="9"/>
  <c r="F26" i="9"/>
  <c r="F27" i="9"/>
  <c r="F28" i="9"/>
  <c r="F29" i="9"/>
  <c r="F30" i="9"/>
  <c r="F31" i="9"/>
  <c r="F32" i="9"/>
  <c r="F33" i="9"/>
  <c r="F34" i="9"/>
  <c r="F35" i="9"/>
  <c r="F36" i="9"/>
  <c r="F37" i="9"/>
  <c r="F38" i="9"/>
  <c r="F39" i="9"/>
  <c r="F40" i="9"/>
  <c r="F41" i="9"/>
  <c r="F42" i="9"/>
  <c r="F43" i="9"/>
  <c r="F44" i="9"/>
  <c r="F45" i="9"/>
  <c r="F46" i="9"/>
  <c r="F47" i="9"/>
  <c r="F48" i="9"/>
  <c r="F49" i="9"/>
  <c r="F50" i="9"/>
  <c r="F51" i="9"/>
  <c r="F52" i="9"/>
  <c r="F53" i="9"/>
  <c r="F54" i="9"/>
  <c r="F55" i="9"/>
  <c r="F56" i="9"/>
  <c r="F57" i="9"/>
  <c r="F58" i="9"/>
  <c r="F59" i="9"/>
  <c r="F60" i="9"/>
  <c r="F61" i="9"/>
  <c r="F62" i="9"/>
  <c r="F63" i="9"/>
  <c r="F64" i="9"/>
  <c r="F65" i="9"/>
  <c r="F66" i="9"/>
  <c r="F67" i="9"/>
  <c r="F68" i="9"/>
  <c r="F69" i="9"/>
  <c r="F70" i="9"/>
  <c r="F71" i="9"/>
  <c r="F72" i="9"/>
  <c r="F73" i="9"/>
  <c r="F74" i="9"/>
  <c r="F75" i="9"/>
  <c r="F76" i="9"/>
  <c r="F77" i="9"/>
  <c r="F78" i="9"/>
  <c r="F79" i="9"/>
  <c r="F80" i="9"/>
  <c r="F81" i="9"/>
  <c r="F82" i="9"/>
  <c r="F83" i="9"/>
  <c r="F84" i="9"/>
  <c r="F85" i="9"/>
  <c r="F86" i="9"/>
  <c r="F87" i="9"/>
  <c r="F88" i="9"/>
  <c r="F89" i="9"/>
  <c r="F90" i="9"/>
  <c r="F91" i="9"/>
  <c r="F92" i="9"/>
  <c r="F93" i="9"/>
  <c r="F94" i="9"/>
  <c r="F95" i="9"/>
  <c r="F96" i="9"/>
  <c r="F97" i="9"/>
  <c r="F98" i="9"/>
  <c r="F99" i="9"/>
  <c r="F100" i="9"/>
  <c r="F101" i="9"/>
  <c r="F102" i="9"/>
  <c r="F3" i="9"/>
  <c r="D4" i="9"/>
  <c r="D5" i="9"/>
  <c r="D6" i="9"/>
  <c r="D7" i="9"/>
  <c r="D8" i="9"/>
  <c r="D9" i="9"/>
  <c r="D10" i="9"/>
  <c r="D11" i="9"/>
  <c r="D12" i="9"/>
  <c r="D13" i="9"/>
  <c r="D14" i="9"/>
  <c r="D15" i="9"/>
  <c r="D16" i="9"/>
  <c r="D17" i="9"/>
  <c r="D18" i="9"/>
  <c r="D19" i="9"/>
  <c r="D20" i="9"/>
  <c r="D21" i="9"/>
  <c r="D22" i="9"/>
  <c r="D23" i="9"/>
  <c r="D24" i="9"/>
  <c r="D25" i="9"/>
  <c r="D26" i="9"/>
  <c r="D27" i="9"/>
  <c r="D28" i="9"/>
  <c r="D29" i="9"/>
  <c r="D30" i="9"/>
  <c r="D31" i="9"/>
  <c r="D32" i="9"/>
  <c r="D33" i="9"/>
  <c r="D34" i="9"/>
  <c r="D35" i="9"/>
  <c r="D36" i="9"/>
  <c r="D37" i="9"/>
  <c r="D38" i="9"/>
  <c r="D39" i="9"/>
  <c r="D40" i="9"/>
  <c r="D41" i="9"/>
  <c r="D42" i="9"/>
  <c r="D43" i="9"/>
  <c r="D44" i="9"/>
  <c r="D45" i="9"/>
  <c r="D46" i="9"/>
  <c r="D47" i="9"/>
  <c r="D48" i="9"/>
  <c r="D49" i="9"/>
  <c r="D50" i="9"/>
  <c r="D51" i="9"/>
  <c r="D52" i="9"/>
  <c r="D53" i="9"/>
  <c r="D54" i="9"/>
  <c r="D55" i="9"/>
  <c r="D56" i="9"/>
  <c r="D57" i="9"/>
  <c r="D58" i="9"/>
  <c r="D59" i="9"/>
  <c r="D60" i="9"/>
  <c r="D61" i="9"/>
  <c r="D62" i="9"/>
  <c r="D63" i="9"/>
  <c r="D64" i="9"/>
  <c r="D65" i="9"/>
  <c r="D66" i="9"/>
  <c r="D67" i="9"/>
  <c r="D68" i="9"/>
  <c r="D69" i="9"/>
  <c r="D70" i="9"/>
  <c r="D71" i="9"/>
  <c r="D72" i="9"/>
  <c r="D73" i="9"/>
  <c r="D74" i="9"/>
  <c r="D75" i="9"/>
  <c r="D76" i="9"/>
  <c r="D77" i="9"/>
  <c r="D78" i="9"/>
  <c r="D79" i="9"/>
  <c r="D80" i="9"/>
  <c r="D81" i="9"/>
  <c r="D82" i="9"/>
  <c r="D83" i="9"/>
  <c r="D84" i="9"/>
  <c r="D85" i="9"/>
  <c r="D86" i="9"/>
  <c r="D87" i="9"/>
  <c r="D88" i="9"/>
  <c r="D89" i="9"/>
  <c r="D90" i="9"/>
  <c r="D91" i="9"/>
  <c r="D92" i="9"/>
  <c r="D93" i="9"/>
  <c r="D94" i="9"/>
  <c r="D95" i="9"/>
  <c r="D96" i="9"/>
  <c r="D97" i="9"/>
  <c r="D98" i="9"/>
  <c r="D99" i="9"/>
  <c r="D100" i="9"/>
  <c r="D101" i="9"/>
  <c r="D102" i="9"/>
  <c r="D3" i="9"/>
  <c r="B4" i="9"/>
  <c r="T4" i="9" s="1"/>
  <c r="B5" i="9"/>
  <c r="S5" i="9" s="1"/>
  <c r="B6" i="9"/>
  <c r="U6" i="9" s="1"/>
  <c r="B7" i="9"/>
  <c r="U7" i="9" s="1"/>
  <c r="B8" i="9"/>
  <c r="S8" i="9" s="1"/>
  <c r="B9" i="9"/>
  <c r="S9" i="9" s="1"/>
  <c r="B10" i="9"/>
  <c r="U10" i="9" s="1"/>
  <c r="B11" i="9"/>
  <c r="T11" i="9" s="1"/>
  <c r="B12" i="9"/>
  <c r="T12" i="9" s="1"/>
  <c r="B13" i="9"/>
  <c r="S13" i="9" s="1"/>
  <c r="B14" i="9"/>
  <c r="U14" i="9" s="1"/>
  <c r="B15" i="9"/>
  <c r="U15" i="9" s="1"/>
  <c r="B16" i="9"/>
  <c r="S16" i="9" s="1"/>
  <c r="B17" i="9"/>
  <c r="S17" i="9" s="1"/>
  <c r="B18" i="9"/>
  <c r="U18" i="9" s="1"/>
  <c r="B19" i="9"/>
  <c r="T19" i="9" s="1"/>
  <c r="B20" i="9"/>
  <c r="T20" i="9" s="1"/>
  <c r="B21" i="9"/>
  <c r="S21" i="9" s="1"/>
  <c r="B22" i="9"/>
  <c r="U22" i="9" s="1"/>
  <c r="B23" i="9"/>
  <c r="U23" i="9" s="1"/>
  <c r="B24" i="9"/>
  <c r="S24" i="9" s="1"/>
  <c r="B25" i="9"/>
  <c r="S25" i="9" s="1"/>
  <c r="B26" i="9"/>
  <c r="U26" i="9" s="1"/>
  <c r="B27" i="9"/>
  <c r="T27" i="9" s="1"/>
  <c r="B28" i="9"/>
  <c r="T28" i="9" s="1"/>
  <c r="B29" i="9"/>
  <c r="S29" i="9" s="1"/>
  <c r="B30" i="9"/>
  <c r="U30" i="9" s="1"/>
  <c r="B31" i="9"/>
  <c r="U31" i="9" s="1"/>
  <c r="B32" i="9"/>
  <c r="S32" i="9" s="1"/>
  <c r="B33" i="9"/>
  <c r="S33" i="9" s="1"/>
  <c r="B34" i="9"/>
  <c r="U34" i="9" s="1"/>
  <c r="B35" i="9"/>
  <c r="T35" i="9" s="1"/>
  <c r="B36" i="9"/>
  <c r="T36" i="9" s="1"/>
  <c r="B37" i="9"/>
  <c r="P37" i="9" s="1"/>
  <c r="B38" i="9"/>
  <c r="U38" i="9" s="1"/>
  <c r="B39" i="9"/>
  <c r="U39" i="9" s="1"/>
  <c r="B40" i="9"/>
  <c r="S40" i="9" s="1"/>
  <c r="B41" i="9"/>
  <c r="U41" i="9" s="1"/>
  <c r="B42" i="9"/>
  <c r="U42" i="9" s="1"/>
  <c r="B43" i="9"/>
  <c r="U43" i="9" s="1"/>
  <c r="B44" i="9"/>
  <c r="U44" i="9" s="1"/>
  <c r="B45" i="9"/>
  <c r="B46" i="9"/>
  <c r="B47" i="9"/>
  <c r="U47" i="9" s="1"/>
  <c r="B48" i="9"/>
  <c r="U48" i="9" s="1"/>
  <c r="B49" i="9"/>
  <c r="U49" i="9" s="1"/>
  <c r="B50" i="9"/>
  <c r="U50" i="9" s="1"/>
  <c r="B51" i="9"/>
  <c r="U51" i="9" s="1"/>
  <c r="B52" i="9"/>
  <c r="U52" i="9" s="1"/>
  <c r="B53" i="9"/>
  <c r="B54" i="9"/>
  <c r="B55" i="9"/>
  <c r="U55" i="9" s="1"/>
  <c r="B56" i="9"/>
  <c r="U56" i="9" s="1"/>
  <c r="B57" i="9"/>
  <c r="U57" i="9" s="1"/>
  <c r="B58" i="9"/>
  <c r="U58" i="9" s="1"/>
  <c r="B59" i="9"/>
  <c r="S59" i="9" s="1"/>
  <c r="B60" i="9"/>
  <c r="U60" i="9" s="1"/>
  <c r="B61" i="9"/>
  <c r="B62" i="9"/>
  <c r="B63" i="9"/>
  <c r="U63" i="9" s="1"/>
  <c r="B64" i="9"/>
  <c r="U64" i="9" s="1"/>
  <c r="B65" i="9"/>
  <c r="U65" i="9" s="1"/>
  <c r="B66" i="9"/>
  <c r="U66" i="9" s="1"/>
  <c r="B67" i="9"/>
  <c r="U67" i="9" s="1"/>
  <c r="B68" i="9"/>
  <c r="U68" i="9" s="1"/>
  <c r="B69" i="9"/>
  <c r="B70" i="9"/>
  <c r="B71" i="9"/>
  <c r="U71" i="9" s="1"/>
  <c r="B72" i="9"/>
  <c r="U72" i="9" s="1"/>
  <c r="B73" i="9"/>
  <c r="U73" i="9" s="1"/>
  <c r="B74" i="9"/>
  <c r="U74" i="9" s="1"/>
  <c r="B75" i="9"/>
  <c r="S75" i="9" s="1"/>
  <c r="B76" i="9"/>
  <c r="U76" i="9" s="1"/>
  <c r="B77" i="9"/>
  <c r="B78" i="9"/>
  <c r="B79" i="9"/>
  <c r="U79" i="9" s="1"/>
  <c r="B80" i="9"/>
  <c r="U80" i="9" s="1"/>
  <c r="B81" i="9"/>
  <c r="U81" i="9" s="1"/>
  <c r="B82" i="9"/>
  <c r="U82" i="9" s="1"/>
  <c r="B83" i="9"/>
  <c r="S83" i="9" s="1"/>
  <c r="B84" i="9"/>
  <c r="U84" i="9" s="1"/>
  <c r="B85" i="9"/>
  <c r="B86" i="9"/>
  <c r="B87" i="9"/>
  <c r="U87" i="9" s="1"/>
  <c r="B88" i="9"/>
  <c r="U88" i="9" s="1"/>
  <c r="B89" i="9"/>
  <c r="U89" i="9" s="1"/>
  <c r="B90" i="9"/>
  <c r="U90" i="9" s="1"/>
  <c r="B91" i="9"/>
  <c r="U91" i="9" s="1"/>
  <c r="B92" i="9"/>
  <c r="U92" i="9" s="1"/>
  <c r="B93" i="9"/>
  <c r="B94" i="9"/>
  <c r="B95" i="9"/>
  <c r="U95" i="9" s="1"/>
  <c r="B96" i="9"/>
  <c r="U96" i="9" s="1"/>
  <c r="B97" i="9"/>
  <c r="U97" i="9" s="1"/>
  <c r="B98" i="9"/>
  <c r="U98" i="9" s="1"/>
  <c r="B99" i="9"/>
  <c r="S99" i="9" s="1"/>
  <c r="B100" i="9"/>
  <c r="U100" i="9" s="1"/>
  <c r="B101" i="9"/>
  <c r="B102" i="9"/>
  <c r="B3" i="9"/>
  <c r="P53" i="9"/>
  <c r="P47" i="9"/>
  <c r="P45" i="9"/>
  <c r="P31" i="9"/>
  <c r="P29" i="9"/>
  <c r="P23" i="9" l="1"/>
  <c r="S100" i="9"/>
  <c r="S92" i="9"/>
  <c r="S84" i="9"/>
  <c r="S76" i="9"/>
  <c r="S68" i="9"/>
  <c r="S60" i="9"/>
  <c r="S52" i="9"/>
  <c r="S44" i="9"/>
  <c r="T100" i="9"/>
  <c r="T92" i="9"/>
  <c r="T84" i="9"/>
  <c r="T76" i="9"/>
  <c r="T68" i="9"/>
  <c r="T60" i="9"/>
  <c r="T52" i="9"/>
  <c r="T44" i="9"/>
  <c r="S91" i="9"/>
  <c r="S67" i="9"/>
  <c r="S51" i="9"/>
  <c r="S43" i="9"/>
  <c r="T99" i="9"/>
  <c r="T91" i="9"/>
  <c r="T83" i="9"/>
  <c r="T75" i="9"/>
  <c r="T67" i="9"/>
  <c r="T59" i="9"/>
  <c r="T51" i="9"/>
  <c r="V51" i="9" s="1"/>
  <c r="T43" i="9"/>
  <c r="V43" i="9" s="1"/>
  <c r="U99" i="9"/>
  <c r="U83" i="9"/>
  <c r="U75" i="9"/>
  <c r="U59" i="9"/>
  <c r="S98" i="9"/>
  <c r="S90" i="9"/>
  <c r="S82" i="9"/>
  <c r="S74" i="9"/>
  <c r="S66" i="9"/>
  <c r="S58" i="9"/>
  <c r="S50" i="9"/>
  <c r="S42" i="9"/>
  <c r="T98" i="9"/>
  <c r="T90" i="9"/>
  <c r="T82" i="9"/>
  <c r="T74" i="9"/>
  <c r="T66" i="9"/>
  <c r="T58" i="9"/>
  <c r="T50" i="9"/>
  <c r="T42" i="9"/>
  <c r="S97" i="9"/>
  <c r="S89" i="9"/>
  <c r="S81" i="9"/>
  <c r="S73" i="9"/>
  <c r="S65" i="9"/>
  <c r="S57" i="9"/>
  <c r="S49" i="9"/>
  <c r="S41" i="9"/>
  <c r="T97" i="9"/>
  <c r="T89" i="9"/>
  <c r="T81" i="9"/>
  <c r="T73" i="9"/>
  <c r="T65" i="9"/>
  <c r="T57" i="9"/>
  <c r="T49" i="9"/>
  <c r="V49" i="9" s="1"/>
  <c r="T41" i="9"/>
  <c r="V41" i="9" s="1"/>
  <c r="S96" i="9"/>
  <c r="S88" i="9"/>
  <c r="S80" i="9"/>
  <c r="S72" i="9"/>
  <c r="S64" i="9"/>
  <c r="S56" i="9"/>
  <c r="S48" i="9"/>
  <c r="S34" i="9"/>
  <c r="T96" i="9"/>
  <c r="T88" i="9"/>
  <c r="T80" i="9"/>
  <c r="T72" i="9"/>
  <c r="T64" i="9"/>
  <c r="T56" i="9"/>
  <c r="T48" i="9"/>
  <c r="T37" i="9"/>
  <c r="U40" i="9"/>
  <c r="S95" i="9"/>
  <c r="S87" i="9"/>
  <c r="S79" i="9"/>
  <c r="S71" i="9"/>
  <c r="S63" i="9"/>
  <c r="S55" i="9"/>
  <c r="S47" i="9"/>
  <c r="S26" i="9"/>
  <c r="T95" i="9"/>
  <c r="T87" i="9"/>
  <c r="T79" i="9"/>
  <c r="T71" i="9"/>
  <c r="T63" i="9"/>
  <c r="T55" i="9"/>
  <c r="T47" i="9"/>
  <c r="V47" i="9" s="1"/>
  <c r="T29" i="9"/>
  <c r="U32" i="9"/>
  <c r="T3" i="9"/>
  <c r="S3" i="9"/>
  <c r="P3" i="9"/>
  <c r="P16" i="9"/>
  <c r="P18" i="9"/>
  <c r="U16" i="9"/>
  <c r="P21" i="9"/>
  <c r="U24" i="9"/>
  <c r="S18" i="9"/>
  <c r="S10" i="9"/>
  <c r="T21" i="9"/>
  <c r="T13" i="9"/>
  <c r="T5" i="9"/>
  <c r="U3" i="9"/>
  <c r="S39" i="9"/>
  <c r="S31" i="9"/>
  <c r="S23" i="9"/>
  <c r="S15" i="9"/>
  <c r="S7" i="9"/>
  <c r="T34" i="9"/>
  <c r="T26" i="9"/>
  <c r="T18" i="9"/>
  <c r="V18" i="9" s="1"/>
  <c r="T10" i="9"/>
  <c r="V10" i="9" s="1"/>
  <c r="U37" i="9"/>
  <c r="U29" i="9"/>
  <c r="U21" i="9"/>
  <c r="U13" i="9"/>
  <c r="U5" i="9"/>
  <c r="S38" i="9"/>
  <c r="S30" i="9"/>
  <c r="S22" i="9"/>
  <c r="S14" i="9"/>
  <c r="S6" i="9"/>
  <c r="T33" i="9"/>
  <c r="T25" i="9"/>
  <c r="T17" i="9"/>
  <c r="T9" i="9"/>
  <c r="U36" i="9"/>
  <c r="U28" i="9"/>
  <c r="U20" i="9"/>
  <c r="U12" i="9"/>
  <c r="V12" i="9" s="1"/>
  <c r="U4" i="9"/>
  <c r="V4" i="9" s="1"/>
  <c r="P39" i="9"/>
  <c r="S37" i="9"/>
  <c r="T40" i="9"/>
  <c r="T32" i="9"/>
  <c r="T24" i="9"/>
  <c r="T16" i="9"/>
  <c r="T8" i="9"/>
  <c r="U35" i="9"/>
  <c r="V35" i="9" s="1"/>
  <c r="U27" i="9"/>
  <c r="V27" i="9" s="1"/>
  <c r="U19" i="9"/>
  <c r="V19" i="9" s="1"/>
  <c r="U11" i="9"/>
  <c r="V11" i="9" s="1"/>
  <c r="S36" i="9"/>
  <c r="S28" i="9"/>
  <c r="S20" i="9"/>
  <c r="S12" i="9"/>
  <c r="S4" i="9"/>
  <c r="T39" i="9"/>
  <c r="V39" i="9" s="1"/>
  <c r="T31" i="9"/>
  <c r="V31" i="9" s="1"/>
  <c r="T23" i="9"/>
  <c r="V23" i="9" s="1"/>
  <c r="T15" i="9"/>
  <c r="V15" i="9" s="1"/>
  <c r="T7" i="9"/>
  <c r="V7" i="9" s="1"/>
  <c r="S35" i="9"/>
  <c r="S27" i="9"/>
  <c r="S19" i="9"/>
  <c r="S11" i="9"/>
  <c r="T38" i="9"/>
  <c r="T30" i="9"/>
  <c r="T22" i="9"/>
  <c r="T14" i="9"/>
  <c r="V14" i="9" s="1"/>
  <c r="T6" i="9"/>
  <c r="V6" i="9" s="1"/>
  <c r="U33" i="9"/>
  <c r="U25" i="9"/>
  <c r="U17" i="9"/>
  <c r="U9" i="9"/>
  <c r="U8" i="9"/>
  <c r="N112" i="9"/>
  <c r="J112" i="11"/>
  <c r="P112" i="11"/>
  <c r="F112" i="11"/>
  <c r="D112" i="11"/>
  <c r="P17" i="9"/>
  <c r="P49" i="9"/>
  <c r="P41" i="9"/>
  <c r="P43" i="9"/>
  <c r="P19" i="9"/>
  <c r="P25" i="9"/>
  <c r="P27" i="9"/>
  <c r="P33" i="9"/>
  <c r="P35" i="9"/>
  <c r="P58" i="9"/>
  <c r="P74" i="9"/>
  <c r="H112" i="9"/>
  <c r="P4" i="9"/>
  <c r="P6" i="9"/>
  <c r="P8" i="9"/>
  <c r="P10" i="9"/>
  <c r="P12" i="9"/>
  <c r="P14" i="9"/>
  <c r="P55" i="9"/>
  <c r="P70" i="9"/>
  <c r="P71" i="9"/>
  <c r="P86" i="9"/>
  <c r="P87" i="9"/>
  <c r="P102" i="9"/>
  <c r="P50" i="9"/>
  <c r="P51" i="9"/>
  <c r="P56" i="9"/>
  <c r="P57" i="9"/>
  <c r="P72" i="9"/>
  <c r="P73" i="9"/>
  <c r="P88" i="9"/>
  <c r="P89" i="9"/>
  <c r="P59" i="9"/>
  <c r="P91" i="9"/>
  <c r="P22" i="9"/>
  <c r="P26" i="9"/>
  <c r="P30" i="9"/>
  <c r="P34" i="9"/>
  <c r="P38" i="9"/>
  <c r="P42" i="9"/>
  <c r="P46" i="9"/>
  <c r="P60" i="9"/>
  <c r="P61" i="9"/>
  <c r="P76" i="9"/>
  <c r="P77" i="9"/>
  <c r="P92" i="9"/>
  <c r="P93" i="9"/>
  <c r="V45" i="9"/>
  <c r="P75" i="9"/>
  <c r="P90" i="9"/>
  <c r="P5" i="9"/>
  <c r="P7" i="9"/>
  <c r="P9" i="9"/>
  <c r="P11" i="9"/>
  <c r="P13" i="9"/>
  <c r="P15" i="9"/>
  <c r="P52" i="9"/>
  <c r="P62" i="9"/>
  <c r="P63" i="9"/>
  <c r="P78" i="9"/>
  <c r="P79" i="9"/>
  <c r="P94" i="9"/>
  <c r="P95" i="9"/>
  <c r="P64" i="9"/>
  <c r="P65" i="9"/>
  <c r="P80" i="9"/>
  <c r="P81" i="9"/>
  <c r="P96" i="9"/>
  <c r="P97" i="9"/>
  <c r="D112" i="9"/>
  <c r="B112" i="9"/>
  <c r="P48" i="9"/>
  <c r="V53" i="9"/>
  <c r="P66" i="9"/>
  <c r="P67" i="9"/>
  <c r="P82" i="9"/>
  <c r="P83" i="9"/>
  <c r="P98" i="9"/>
  <c r="P99" i="9"/>
  <c r="P20" i="9"/>
  <c r="P24" i="9"/>
  <c r="P28" i="9"/>
  <c r="P32" i="9"/>
  <c r="P36" i="9"/>
  <c r="P40" i="9"/>
  <c r="P44" i="9"/>
  <c r="P54" i="9"/>
  <c r="P68" i="9"/>
  <c r="P69" i="9"/>
  <c r="P84" i="9"/>
  <c r="P85" i="9"/>
  <c r="P100" i="9"/>
  <c r="P101" i="9"/>
  <c r="V29" i="9" l="1"/>
  <c r="V37" i="9"/>
  <c r="V16" i="9"/>
  <c r="V8" i="9"/>
  <c r="V33" i="9"/>
  <c r="V5" i="9"/>
  <c r="V21" i="9"/>
  <c r="V17" i="9"/>
  <c r="V25" i="9"/>
  <c r="V13" i="9"/>
  <c r="V9" i="9"/>
  <c r="V54" i="9"/>
  <c r="V28" i="9"/>
  <c r="V75" i="9"/>
  <c r="V62" i="9"/>
  <c r="V92" i="9"/>
  <c r="V46" i="9"/>
  <c r="V50" i="9"/>
  <c r="V70" i="9"/>
  <c r="V100" i="9"/>
  <c r="V84" i="9"/>
  <c r="V68" i="9"/>
  <c r="V44" i="9"/>
  <c r="V99" i="9"/>
  <c r="V90" i="9"/>
  <c r="V76" i="9"/>
  <c r="V38" i="9"/>
  <c r="V88" i="9"/>
  <c r="V74" i="9"/>
  <c r="V97" i="9"/>
  <c r="V79" i="9"/>
  <c r="V87" i="9"/>
  <c r="V36" i="9"/>
  <c r="V91" i="9"/>
  <c r="V65" i="9"/>
  <c r="V52" i="9"/>
  <c r="V42" i="9"/>
  <c r="V32" i="9"/>
  <c r="V82" i="9"/>
  <c r="V64" i="9"/>
  <c r="V40" i="9"/>
  <c r="V98" i="9"/>
  <c r="V48" i="9"/>
  <c r="V80" i="9"/>
  <c r="V67" i="9"/>
  <c r="V95" i="9"/>
  <c r="V61" i="9"/>
  <c r="V57" i="9"/>
  <c r="V101" i="9"/>
  <c r="V85" i="9"/>
  <c r="V69" i="9"/>
  <c r="V22" i="9"/>
  <c r="V73" i="9"/>
  <c r="V86" i="9"/>
  <c r="V58" i="9"/>
  <c r="V20" i="9"/>
  <c r="V26" i="9"/>
  <c r="V34" i="9"/>
  <c r="V59" i="9"/>
  <c r="V96" i="9"/>
  <c r="V78" i="9"/>
  <c r="V83" i="9"/>
  <c r="V3" i="9"/>
  <c r="V77" i="9"/>
  <c r="V89" i="9"/>
  <c r="V55" i="9"/>
  <c r="V24" i="9"/>
  <c r="V66" i="9"/>
  <c r="V94" i="9"/>
  <c r="V60" i="9"/>
  <c r="V30" i="9"/>
  <c r="V56" i="9"/>
  <c r="V102" i="9"/>
  <c r="V81" i="9"/>
  <c r="V63" i="9"/>
  <c r="V93" i="9"/>
  <c r="V72" i="9"/>
  <c r="V71" i="9"/>
</calcChain>
</file>

<file path=xl/sharedStrings.xml><?xml version="1.0" encoding="utf-8"?>
<sst xmlns="http://schemas.openxmlformats.org/spreadsheetml/2006/main" count="2138" uniqueCount="181">
  <si>
    <t>mxg</t>
  </si>
  <si>
    <t>dapeng</t>
  </si>
  <si>
    <t>windowglass</t>
  </si>
  <si>
    <t>janicechua</t>
  </si>
  <si>
    <t>pizzapai</t>
  </si>
  <si>
    <t>|@</t>
    <phoneticPr fontId="19" type="noConversion"/>
  </si>
  <si>
    <t>|</t>
    <phoneticPr fontId="19" type="noConversion"/>
  </si>
  <si>
    <t>|[</t>
    <phoneticPr fontId="19" type="noConversion"/>
  </si>
  <si>
    <t>](</t>
    <phoneticPr fontId="19" type="noConversion"/>
  </si>
  <si>
    <t>)|</t>
    <phoneticPr fontId="19" type="noConversion"/>
  </si>
  <si>
    <t>作品编号</t>
    <phoneticPr fontId="19" type="noConversion"/>
  </si>
  <si>
    <t>april6th</t>
  </si>
  <si>
    <t>davidke20</t>
  </si>
  <si>
    <t>作者</t>
    <phoneticPr fontId="19" type="noConversion"/>
  </si>
  <si>
    <t>文章标题</t>
    <phoneticPr fontId="19" type="noConversion"/>
  </si>
  <si>
    <t>收益</t>
    <phoneticPr fontId="19" type="noConversion"/>
  </si>
  <si>
    <t>评论人数</t>
    <phoneticPr fontId="19" type="noConversion"/>
  </si>
  <si>
    <t>30分钟后赞</t>
    <phoneticPr fontId="19" type="noConversion"/>
  </si>
  <si>
    <t>总赞</t>
    <phoneticPr fontId="19" type="noConversion"/>
  </si>
  <si>
    <t>综合指数</t>
    <phoneticPr fontId="19" type="noConversion"/>
  </si>
  <si>
    <t>发文时间</t>
    <phoneticPr fontId="19" type="noConversion"/>
  </si>
  <si>
    <t>注册时间</t>
    <phoneticPr fontId="19" type="noConversion"/>
  </si>
  <si>
    <t>统计时间</t>
    <phoneticPr fontId="19" type="noConversion"/>
  </si>
  <si>
    <t>是否新人</t>
    <phoneticPr fontId="19" type="noConversion"/>
  </si>
  <si>
    <t>|:</t>
    <phoneticPr fontId="19" type="noConversion"/>
  </si>
  <si>
    <t>----</t>
    <phoneticPr fontId="19" type="noConversion"/>
  </si>
  <si>
    <t>--</t>
    <phoneticPr fontId="19" type="noConversion"/>
  </si>
  <si>
    <t>:|</t>
    <phoneticPr fontId="19" type="noConversion"/>
  </si>
  <si>
    <t>crowflew</t>
  </si>
  <si>
    <t>winniex</t>
  </si>
  <si>
    <t>towardsthesun</t>
  </si>
  <si>
    <t>评奖</t>
    <phoneticPr fontId="19" type="noConversion"/>
  </si>
  <si>
    <t xml:space="preserve"> 抽取幸运奖</t>
    <phoneticPr fontId="19" type="noConversion"/>
  </si>
  <si>
    <t>幸运奖得主</t>
    <phoneticPr fontId="19" type="noConversion"/>
  </si>
  <si>
    <t>幸运奖编号</t>
    <phoneticPr fontId="19" type="noConversion"/>
  </si>
  <si>
    <t>奖项</t>
    <phoneticPr fontId="19" type="noConversion"/>
  </si>
  <si>
    <t>声东击西</t>
  </si>
  <si>
    <t>声泪俱下</t>
  </si>
  <si>
    <t>声名狼藉</t>
  </si>
  <si>
    <t>声如洪钟</t>
  </si>
  <si>
    <t>声色俱厉</t>
  </si>
  <si>
    <t>声色犬马</t>
  </si>
  <si>
    <t>声势浩大</t>
  </si>
  <si>
    <t>声嘶力竭</t>
  </si>
  <si>
    <t>声威大震</t>
  </si>
  <si>
    <t>声誉鹊起</t>
  </si>
  <si>
    <t>唉声叹气</t>
  </si>
  <si>
    <t>大声疾呼</t>
  </si>
  <si>
    <t>低声下气</t>
  </si>
  <si>
    <t>风声鹤唳</t>
  </si>
  <si>
    <t>歌声绕梁</t>
  </si>
  <si>
    <t>鼾声如雷</t>
  </si>
  <si>
    <t>好声好气</t>
  </si>
  <si>
    <t>欢声雷动</t>
  </si>
  <si>
    <t>绘声绘色</t>
  </si>
  <si>
    <t>绘声绘影</t>
  </si>
  <si>
    <t>雷声大雨点小</t>
  </si>
  <si>
    <t>敛声屏气</t>
  </si>
  <si>
    <t>怯声怯气</t>
  </si>
  <si>
    <t>人声鼎沸</t>
  </si>
  <si>
    <t>书声琅琅</t>
  </si>
  <si>
    <t>随声附和</t>
  </si>
  <si>
    <t>无声无息</t>
  </si>
  <si>
    <t>先声夺人</t>
  </si>
  <si>
    <t>销声匿迹</t>
  </si>
  <si>
    <t>莺声燕语</t>
  </si>
  <si>
    <t xml:space="preserve">应声虫  </t>
  </si>
  <si>
    <t>有声有色</t>
  </si>
  <si>
    <t>怨声载道</t>
  </si>
  <si>
    <t>哀声叹气</t>
  </si>
  <si>
    <t>不声不响</t>
  </si>
  <si>
    <t>屏声静气</t>
  </si>
  <si>
    <t>怪声怪气</t>
  </si>
  <si>
    <t>无声无色</t>
  </si>
  <si>
    <t>枪声刀影</t>
  </si>
  <si>
    <t>乳声乳气</t>
  </si>
  <si>
    <t>书声朗朗</t>
  </si>
  <si>
    <t>随声趋和</t>
  </si>
  <si>
    <t>贪声逐色</t>
  </si>
  <si>
    <t>瓮声瓮气</t>
  </si>
  <si>
    <t>赞声不绝</t>
  </si>
  <si>
    <t>不动声色</t>
  </si>
  <si>
    <t>不露声色</t>
  </si>
  <si>
    <t>大张声势</t>
  </si>
  <si>
    <t>口口声声</t>
  </si>
  <si>
    <t>力竭声嘶</t>
  </si>
  <si>
    <t>虚张声势</t>
  </si>
  <si>
    <t>大放悲声</t>
  </si>
  <si>
    <t>匿迹销声</t>
  </si>
  <si>
    <t>平地一声雷</t>
  </si>
  <si>
    <t>泣不成声</t>
  </si>
  <si>
    <t>忍气吞声</t>
  </si>
  <si>
    <t>如闻其声</t>
  </si>
  <si>
    <t>万籁无声</t>
  </si>
  <si>
    <t>唯唯连声</t>
  </si>
  <si>
    <t>鸦雀无声</t>
  </si>
  <si>
    <t>燕语莺声</t>
  </si>
  <si>
    <t>雁过留声</t>
  </si>
  <si>
    <t>铮铮有声</t>
  </si>
  <si>
    <t>掷地有声</t>
  </si>
  <si>
    <t>百啭千声</t>
  </si>
  <si>
    <t>寂然无声</t>
  </si>
  <si>
    <t>靡靡之声</t>
  </si>
  <si>
    <t>默不作声</t>
  </si>
  <si>
    <t>悄然无声</t>
  </si>
  <si>
    <t>哑口无声</t>
  </si>
  <si>
    <t>引吭高声</t>
  </si>
  <si>
    <t>蜚声中外</t>
  </si>
  <si>
    <t>润物无声</t>
  </si>
  <si>
    <t>放声大哭</t>
  </si>
  <si>
    <t>大爱无声</t>
    <phoneticPr fontId="19" type="noConversion"/>
  </si>
  <si>
    <t>歌声嘹亮</t>
    <phoneticPr fontId="19" type="noConversion"/>
  </si>
  <si>
    <t>粗声粗气</t>
    <phoneticPr fontId="19" type="noConversion"/>
  </si>
  <si>
    <t>妖声怪气</t>
    <phoneticPr fontId="19" type="noConversion"/>
  </si>
  <si>
    <t>大吼一声</t>
    <phoneticPr fontId="19" type="noConversion"/>
  </si>
  <si>
    <t>纵情声色</t>
    <phoneticPr fontId="19" type="noConversion"/>
  </si>
  <si>
    <t>声振天地</t>
    <phoneticPr fontId="19" type="noConversion"/>
  </si>
  <si>
    <t>声振林木</t>
    <phoneticPr fontId="19" type="noConversion"/>
  </si>
  <si>
    <t>金石之声</t>
    <phoneticPr fontId="19" type="noConversion"/>
  </si>
  <si>
    <t>悄声细语</t>
    <phoneticPr fontId="19" type="noConversion"/>
  </si>
  <si>
    <t>倾吐心声</t>
    <phoneticPr fontId="19" type="noConversion"/>
  </si>
  <si>
    <t>嗲声嗲气</t>
    <phoneticPr fontId="19" type="noConversion"/>
  </si>
  <si>
    <t>名声大噪</t>
    <phoneticPr fontId="19" type="noConversion"/>
  </si>
  <si>
    <t>岁月无声</t>
    <phoneticPr fontId="19" type="noConversion"/>
  </si>
  <si>
    <t>蜚声遐迩</t>
    <phoneticPr fontId="19" type="noConversion"/>
  </si>
  <si>
    <t>夜半歌声</t>
    <phoneticPr fontId="19" type="noConversion"/>
  </si>
  <si>
    <t>浪声浪气</t>
    <phoneticPr fontId="19" type="noConversion"/>
  </si>
  <si>
    <t>调频立体声</t>
    <phoneticPr fontId="19" type="noConversion"/>
  </si>
  <si>
    <t>言为心声</t>
    <phoneticPr fontId="19" type="noConversion"/>
  </si>
  <si>
    <t>闷声不响</t>
    <phoneticPr fontId="19" type="noConversion"/>
  </si>
  <si>
    <t>中国之声</t>
    <phoneticPr fontId="19" type="noConversion"/>
  </si>
  <si>
    <t>轻声细语</t>
    <phoneticPr fontId="19" type="noConversion"/>
  </si>
  <si>
    <t>细声细气</t>
    <phoneticPr fontId="19" type="noConversion"/>
  </si>
  <si>
    <t>kokuryo</t>
  </si>
  <si>
    <t>初始化</t>
    <phoneticPr fontId="19" type="noConversion"/>
  </si>
  <si>
    <t>&lt;b&gt;声振寰宇&lt;/b&gt;奖</t>
  </si>
  <si>
    <t>&lt;b&gt;声名远扬&lt;/b&gt;奖</t>
  </si>
  <si>
    <t>&lt;b&gt;声情并茂&lt;/b&gt;奖</t>
  </si>
  <si>
    <t>/cn/@winniex/3aevfw</t>
  </si>
  <si>
    <t>《沉默的表示》+《青藏高原》-- 华语好声音·无关爱情好声音-- Music Challenge A</t>
  </si>
  <si>
    <t>/cn/@winniex/music-challenge-a</t>
  </si>
  <si>
    <t>打工行――无关爱情好声音</t>
  </si>
  <si>
    <t>/cn/@mxg/elaua</t>
  </si>
  <si>
    <t>/cn/@april6th/4rcuhp-or</t>
  </si>
  <si>
    <t>/cn/@crowflew/or-16</t>
  </si>
  <si>
    <t>/cn/@davidke20/7er2qk-or</t>
  </si>
  <si>
    <t>/cn/@winniex/4dhcxk</t>
  </si>
  <si>
    <t>【合唱邀请】哪里的天空不下雨｜无关爱情好声音</t>
  </si>
  <si>
    <t>/cn/@windowglass/yzpfr</t>
  </si>
  <si>
    <t>/cn/@dapeng/jixiangsanbao</t>
  </si>
  <si>
    <t>无关爱情好声音 Beyond 《爸爸妈妈》</t>
  </si>
  <si>
    <t>/cn/@davidke20/beyond</t>
  </si>
  <si>
    <t>/cn/@towardsthesun/3de1fh-or</t>
  </si>
  <si>
    <t>/cn/@winniex/or-music-challenge-b</t>
  </si>
  <si>
    <t>/cn/@kokuryo/or</t>
  </si>
  <si>
    <t>天涯孤客｜无关爱情好声音</t>
  </si>
  <si>
    <t>/cn/@windowglass/4qiumd</t>
  </si>
  <si>
    <t>Music Challenge D 音乐挑战-七首喜爱歌曲之四《宝贝》无关爱情好声音</t>
  </si>
  <si>
    <t>/cn-malaysia/@janicechua/3ajtna</t>
  </si>
  <si>
    <t>无关爱情好声音 《私心》-异种乐队 ∣ 三个一 “年少时”</t>
  </si>
  <si>
    <t>/cn/@davidke20/7rcud7</t>
  </si>
  <si>
    <t>/cn/@crowflew/or-16-or</t>
  </si>
  <si>
    <t>/cn/@april6th/or-dapeng-or</t>
  </si>
  <si>
    <t>【合唱邀请】祈祷｜无关爱情好声音</t>
  </si>
  <si>
    <t>/cn/@windowglass/auv4b</t>
  </si>
  <si>
    <t>/teammalaysia/@pizzapai/4dtnrw-or</t>
  </si>
  <si>
    <t>生病+《摇篮曲》 ｜ 华语好声音·无关爱情好声音</t>
  </si>
  <si>
    <t>《棠梨煎雪》 ｜无关爱情好声音</t>
  </si>
  <si>
    <t>致解冻的风｜无关爱情好声音#16</t>
  </si>
  <si>
    <t>没事业成就，更无关爱情好声音 ｜ 廿几岁时的《阿博》 - 三个一</t>
  </si>
  <si>
    <t>通俗地唱：《我和我的祖国》 ｜ 华语好声音·无关爱情好声音</t>
  </si>
  <si>
    <t>征对唱：吉祥三宝 ｜ 无关爱情好声音</t>
  </si>
  <si>
    <t>留下故事｜无关爱情好声音</t>
  </si>
  <si>
    <t>《让我拥抱你入梦》｜ 华语好声音·无关爱情好声音-- Music Challenge B</t>
  </si>
  <si>
    <t>《陀飞轮》｜ 华语好声音·无关爱情好声音</t>
  </si>
  <si>
    <t>说话时间｜无关爱情好声音#16｜三个一</t>
  </si>
  <si>
    <t>应征对唱：吉祥三宝｜和dapeng男神一起唱的 ｜ 无关爱情好声音</t>
  </si>
  <si>
    <t>无关爱情好声音 ｜ 时间都去哪儿了</t>
  </si>
  <si>
    <t>jaffer</t>
    <phoneticPr fontId="19" type="noConversion"/>
  </si>
  <si>
    <t>/cn/@jaffer/weghf-or</t>
    <phoneticPr fontId="19" type="noConversion"/>
  </si>
  <si>
    <t>一声朋友一生情｜无关爱情好声音｜Music Challenge F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</si>
</sst>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1">
    <numFmt numFmtId="176" formatCode="0.000_ "/>
  </numFmts>
  <fonts count="25" x14ac:knownFonts="1">
    <font>
      <sz val="11"/>
      <color theme="1"/>
      <name val="宋体"/>
      <family val="2"/>
      <charset val="134"/>
      <scheme val="minor"/>
    </font>
    <font>
      <sz val="11"/>
      <color theme="1"/>
      <name val="宋体"/>
      <family val="2"/>
      <charset val="134"/>
      <scheme val="minor"/>
    </font>
    <font>
      <b/>
      <sz val="18"/>
      <color theme="3"/>
      <name val="宋体"/>
      <family val="2"/>
      <charset val="134"/>
      <scheme val="major"/>
    </font>
    <font>
      <b/>
      <sz val="15"/>
      <color theme="3"/>
      <name val="宋体"/>
      <family val="2"/>
      <charset val="134"/>
      <scheme val="minor"/>
    </font>
    <font>
      <b/>
      <sz val="13"/>
      <color theme="3"/>
      <name val="宋体"/>
      <family val="2"/>
      <charset val="134"/>
      <scheme val="minor"/>
    </font>
    <font>
      <b/>
      <sz val="11"/>
      <color theme="3"/>
      <name val="宋体"/>
      <family val="2"/>
      <charset val="134"/>
      <scheme val="minor"/>
    </font>
    <font>
      <sz val="11"/>
      <color rgb="FF006100"/>
      <name val="宋体"/>
      <family val="2"/>
      <charset val="134"/>
      <scheme val="minor"/>
    </font>
    <font>
      <sz val="11"/>
      <color rgb="FF9C0006"/>
      <name val="宋体"/>
      <family val="2"/>
      <charset val="134"/>
      <scheme val="minor"/>
    </font>
    <font>
      <sz val="11"/>
      <color rgb="FF9C6500"/>
      <name val="宋体"/>
      <family val="2"/>
      <charset val="134"/>
      <scheme val="minor"/>
    </font>
    <font>
      <sz val="11"/>
      <color rgb="FF3F3F76"/>
      <name val="宋体"/>
      <family val="2"/>
      <charset val="134"/>
      <scheme val="minor"/>
    </font>
    <font>
      <b/>
      <sz val="11"/>
      <color rgb="FF3F3F3F"/>
      <name val="宋体"/>
      <family val="2"/>
      <charset val="134"/>
      <scheme val="minor"/>
    </font>
    <font>
      <b/>
      <sz val="11"/>
      <color rgb="FFFA7D00"/>
      <name val="宋体"/>
      <family val="2"/>
      <charset val="134"/>
      <scheme val="minor"/>
    </font>
    <font>
      <sz val="11"/>
      <color rgb="FFFA7D00"/>
      <name val="宋体"/>
      <family val="2"/>
      <charset val="134"/>
      <scheme val="minor"/>
    </font>
    <font>
      <b/>
      <sz val="11"/>
      <color theme="0"/>
      <name val="宋体"/>
      <family val="2"/>
      <charset val="134"/>
      <scheme val="minor"/>
    </font>
    <font>
      <sz val="11"/>
      <color rgb="FFFF0000"/>
      <name val="宋体"/>
      <family val="2"/>
      <charset val="134"/>
      <scheme val="minor"/>
    </font>
    <font>
      <i/>
      <sz val="11"/>
      <color rgb="FF7F7F7F"/>
      <name val="宋体"/>
      <family val="2"/>
      <charset val="134"/>
      <scheme val="minor"/>
    </font>
    <font>
      <b/>
      <sz val="11"/>
      <color theme="1"/>
      <name val="宋体"/>
      <family val="2"/>
      <charset val="134"/>
      <scheme val="minor"/>
    </font>
    <font>
      <sz val="11"/>
      <color theme="0"/>
      <name val="宋体"/>
      <family val="2"/>
      <charset val="134"/>
      <scheme val="minor"/>
    </font>
    <font>
      <sz val="10"/>
      <color theme="1"/>
      <name val="宋体"/>
      <family val="3"/>
      <charset val="134"/>
      <scheme val="minor"/>
    </font>
    <font>
      <sz val="9"/>
      <name val="宋体"/>
      <family val="2"/>
      <charset val="134"/>
      <scheme val="minor"/>
    </font>
    <font>
      <b/>
      <sz val="8"/>
      <color theme="1"/>
      <name val="宋体"/>
      <family val="3"/>
      <charset val="134"/>
      <scheme val="minor"/>
    </font>
    <font>
      <sz val="9"/>
      <color theme="1"/>
      <name val="宋体"/>
      <family val="3"/>
      <charset val="134"/>
      <scheme val="minor"/>
    </font>
    <font>
      <sz val="18"/>
      <color theme="3"/>
      <name val="宋体"/>
      <family val="2"/>
      <charset val="134"/>
      <scheme val="major"/>
    </font>
    <font>
      <sz val="11"/>
      <color rgb="FF9C5700"/>
      <name val="宋体"/>
      <family val="2"/>
      <charset val="134"/>
      <scheme val="minor"/>
    </font>
    <font>
      <b/>
      <sz val="11"/>
      <color theme="0"/>
      <name val="宋体"/>
      <family val="3"/>
      <charset val="13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1"/>
        <bgColor indexed="64"/>
      </patternFill>
    </fill>
    <fill>
      <patternFill patternType="solid">
        <fgColor theme="1" tint="0.34998626667073579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50">
    <xf numFmtId="0" fontId="0" fillId="0" borderId="0">
      <alignment vertical="center"/>
    </xf>
    <xf numFmtId="0" fontId="2" fillId="0" borderId="0" applyNumberFormat="0" applyFill="0" applyBorder="0" applyAlignment="0" applyProtection="0">
      <alignment vertical="center"/>
    </xf>
    <xf numFmtId="0" fontId="3" fillId="0" borderId="1" applyNumberFormat="0" applyFill="0" applyAlignment="0" applyProtection="0">
      <alignment vertical="center"/>
    </xf>
    <xf numFmtId="0" fontId="4" fillId="0" borderId="2" applyNumberFormat="0" applyFill="0" applyAlignment="0" applyProtection="0">
      <alignment vertical="center"/>
    </xf>
    <xf numFmtId="0" fontId="5" fillId="0" borderId="3" applyNumberFormat="0" applyFill="0" applyAlignment="0" applyProtection="0">
      <alignment vertical="center"/>
    </xf>
    <xf numFmtId="0" fontId="5" fillId="0" borderId="0" applyNumberFormat="0" applyFill="0" applyBorder="0" applyAlignment="0" applyProtection="0">
      <alignment vertical="center"/>
    </xf>
    <xf numFmtId="0" fontId="6" fillId="2" borderId="0" applyNumberFormat="0" applyBorder="0" applyAlignment="0" applyProtection="0">
      <alignment vertical="center"/>
    </xf>
    <xf numFmtId="0" fontId="7" fillId="3" borderId="0" applyNumberFormat="0" applyBorder="0" applyAlignment="0" applyProtection="0">
      <alignment vertical="center"/>
    </xf>
    <xf numFmtId="0" fontId="8" fillId="4" borderId="0" applyNumberFormat="0" applyBorder="0" applyAlignment="0" applyProtection="0">
      <alignment vertical="center"/>
    </xf>
    <xf numFmtId="0" fontId="9" fillId="5" borderId="4" applyNumberFormat="0" applyAlignment="0" applyProtection="0">
      <alignment vertical="center"/>
    </xf>
    <xf numFmtId="0" fontId="10" fillId="6" borderId="5" applyNumberFormat="0" applyAlignment="0" applyProtection="0">
      <alignment vertical="center"/>
    </xf>
    <xf numFmtId="0" fontId="11" fillId="6" borderId="4" applyNumberFormat="0" applyAlignment="0" applyProtection="0">
      <alignment vertical="center"/>
    </xf>
    <xf numFmtId="0" fontId="12" fillId="0" borderId="6" applyNumberFormat="0" applyFill="0" applyAlignment="0" applyProtection="0">
      <alignment vertical="center"/>
    </xf>
    <xf numFmtId="0" fontId="13" fillId="7" borderId="7" applyNumberFormat="0" applyAlignment="0" applyProtection="0">
      <alignment vertical="center"/>
    </xf>
    <xf numFmtId="0" fontId="14" fillId="0" borderId="0" applyNumberFormat="0" applyFill="0" applyBorder="0" applyAlignment="0" applyProtection="0">
      <alignment vertical="center"/>
    </xf>
    <xf numFmtId="0" fontId="1" fillId="8" borderId="8" applyNumberFormat="0" applyFont="0" applyAlignment="0" applyProtection="0">
      <alignment vertical="center"/>
    </xf>
    <xf numFmtId="0" fontId="15" fillId="0" borderId="0" applyNumberFormat="0" applyFill="0" applyBorder="0" applyAlignment="0" applyProtection="0">
      <alignment vertical="center"/>
    </xf>
    <xf numFmtId="0" fontId="16" fillId="0" borderId="9" applyNumberFormat="0" applyFill="0" applyAlignment="0" applyProtection="0">
      <alignment vertical="center"/>
    </xf>
    <xf numFmtId="0" fontId="17" fillId="9" borderId="0" applyNumberFormat="0" applyBorder="0" applyAlignment="0" applyProtection="0">
      <alignment vertical="center"/>
    </xf>
    <xf numFmtId="0" fontId="1" fillId="10" borderId="0" applyNumberFormat="0" applyBorder="0" applyAlignment="0" applyProtection="0">
      <alignment vertical="center"/>
    </xf>
    <xf numFmtId="0" fontId="1" fillId="11" borderId="0" applyNumberFormat="0" applyBorder="0" applyAlignment="0" applyProtection="0">
      <alignment vertical="center"/>
    </xf>
    <xf numFmtId="0" fontId="17" fillId="12" borderId="0" applyNumberFormat="0" applyBorder="0" applyAlignment="0" applyProtection="0">
      <alignment vertical="center"/>
    </xf>
    <xf numFmtId="0" fontId="17" fillId="13" borderId="0" applyNumberFormat="0" applyBorder="0" applyAlignment="0" applyProtection="0">
      <alignment vertical="center"/>
    </xf>
    <xf numFmtId="0" fontId="1" fillId="14" borderId="0" applyNumberFormat="0" applyBorder="0" applyAlignment="0" applyProtection="0">
      <alignment vertical="center"/>
    </xf>
    <xf numFmtId="0" fontId="1" fillId="15" borderId="0" applyNumberFormat="0" applyBorder="0" applyAlignment="0" applyProtection="0">
      <alignment vertical="center"/>
    </xf>
    <xf numFmtId="0" fontId="17" fillId="16" borderId="0" applyNumberFormat="0" applyBorder="0" applyAlignment="0" applyProtection="0">
      <alignment vertical="center"/>
    </xf>
    <xf numFmtId="0" fontId="17" fillId="17" borderId="0" applyNumberFormat="0" applyBorder="0" applyAlignment="0" applyProtection="0">
      <alignment vertical="center"/>
    </xf>
    <xf numFmtId="0" fontId="1" fillId="18" borderId="0" applyNumberFormat="0" applyBorder="0" applyAlignment="0" applyProtection="0">
      <alignment vertical="center"/>
    </xf>
    <xf numFmtId="0" fontId="1" fillId="19" borderId="0" applyNumberFormat="0" applyBorder="0" applyAlignment="0" applyProtection="0">
      <alignment vertical="center"/>
    </xf>
    <xf numFmtId="0" fontId="17" fillId="20" borderId="0" applyNumberFormat="0" applyBorder="0" applyAlignment="0" applyProtection="0">
      <alignment vertical="center"/>
    </xf>
    <xf numFmtId="0" fontId="17" fillId="21" borderId="0" applyNumberFormat="0" applyBorder="0" applyAlignment="0" applyProtection="0">
      <alignment vertical="center"/>
    </xf>
    <xf numFmtId="0" fontId="1" fillId="22" borderId="0" applyNumberFormat="0" applyBorder="0" applyAlignment="0" applyProtection="0">
      <alignment vertical="center"/>
    </xf>
    <xf numFmtId="0" fontId="1" fillId="23" borderId="0" applyNumberFormat="0" applyBorder="0" applyAlignment="0" applyProtection="0">
      <alignment vertical="center"/>
    </xf>
    <xf numFmtId="0" fontId="17" fillId="24" borderId="0" applyNumberFormat="0" applyBorder="0" applyAlignment="0" applyProtection="0">
      <alignment vertical="center"/>
    </xf>
    <xf numFmtId="0" fontId="17" fillId="25" borderId="0" applyNumberFormat="0" applyBorder="0" applyAlignment="0" applyProtection="0">
      <alignment vertical="center"/>
    </xf>
    <xf numFmtId="0" fontId="1" fillId="26" borderId="0" applyNumberFormat="0" applyBorder="0" applyAlignment="0" applyProtection="0">
      <alignment vertical="center"/>
    </xf>
    <xf numFmtId="0" fontId="1" fillId="27" borderId="0" applyNumberFormat="0" applyBorder="0" applyAlignment="0" applyProtection="0">
      <alignment vertical="center"/>
    </xf>
    <xf numFmtId="0" fontId="17" fillId="28" borderId="0" applyNumberFormat="0" applyBorder="0" applyAlignment="0" applyProtection="0">
      <alignment vertical="center"/>
    </xf>
    <xf numFmtId="0" fontId="17" fillId="29" borderId="0" applyNumberFormat="0" applyBorder="0" applyAlignment="0" applyProtection="0">
      <alignment vertical="center"/>
    </xf>
    <xf numFmtId="0" fontId="1" fillId="30" borderId="0" applyNumberFormat="0" applyBorder="0" applyAlignment="0" applyProtection="0">
      <alignment vertical="center"/>
    </xf>
    <xf numFmtId="0" fontId="1" fillId="31" borderId="0" applyNumberFormat="0" applyBorder="0" applyAlignment="0" applyProtection="0">
      <alignment vertical="center"/>
    </xf>
    <xf numFmtId="0" fontId="17" fillId="32" borderId="0" applyNumberFormat="0" applyBorder="0" applyAlignment="0" applyProtection="0">
      <alignment vertical="center"/>
    </xf>
    <xf numFmtId="0" fontId="22" fillId="0" borderId="0" applyNumberFormat="0" applyFill="0" applyBorder="0" applyAlignment="0" applyProtection="0">
      <alignment vertical="center"/>
    </xf>
    <xf numFmtId="0" fontId="23" fillId="4" borderId="0" applyNumberFormat="0" applyBorder="0" applyAlignment="0" applyProtection="0">
      <alignment vertical="center"/>
    </xf>
    <xf numFmtId="0" fontId="1" fillId="12" borderId="0" applyNumberFormat="0" applyBorder="0" applyAlignment="0" applyProtection="0">
      <alignment vertical="center"/>
    </xf>
    <xf numFmtId="0" fontId="1" fillId="16" borderId="0" applyNumberFormat="0" applyBorder="0" applyAlignment="0" applyProtection="0">
      <alignment vertical="center"/>
    </xf>
    <xf numFmtId="0" fontId="1" fillId="20" borderId="0" applyNumberFormat="0" applyBorder="0" applyAlignment="0" applyProtection="0">
      <alignment vertical="center"/>
    </xf>
    <xf numFmtId="0" fontId="1" fillId="24" borderId="0" applyNumberFormat="0" applyBorder="0" applyAlignment="0" applyProtection="0">
      <alignment vertical="center"/>
    </xf>
    <xf numFmtId="0" fontId="1" fillId="28" borderId="0" applyNumberFormat="0" applyBorder="0" applyAlignment="0" applyProtection="0">
      <alignment vertical="center"/>
    </xf>
    <xf numFmtId="0" fontId="1" fillId="32" borderId="0" applyNumberFormat="0" applyBorder="0" applyAlignment="0" applyProtection="0">
      <alignment vertical="center"/>
    </xf>
  </cellStyleXfs>
  <cellXfs count="23">
    <xf numFmtId="0" fontId="0" fillId="0" borderId="0" xfId="0">
      <alignment vertical="center"/>
    </xf>
    <xf numFmtId="0" fontId="0" fillId="0" borderId="0" xfId="0">
      <alignment vertical="center"/>
    </xf>
    <xf numFmtId="0" fontId="20" fillId="0" borderId="0" xfId="0" applyFont="1">
      <alignment vertical="center"/>
    </xf>
    <xf numFmtId="0" fontId="20" fillId="0" borderId="0" xfId="0" applyFont="1" applyAlignment="1">
      <alignment vertical="center" wrapText="1"/>
    </xf>
    <xf numFmtId="0" fontId="20" fillId="0" borderId="0" xfId="0" applyFont="1" applyBorder="1">
      <alignment vertical="center"/>
    </xf>
    <xf numFmtId="0" fontId="20" fillId="33" borderId="0" xfId="0" applyFont="1" applyFill="1" applyBorder="1">
      <alignment vertical="center"/>
    </xf>
    <xf numFmtId="0" fontId="21" fillId="0" borderId="0" xfId="0" applyFont="1">
      <alignment vertical="center"/>
    </xf>
    <xf numFmtId="0" fontId="21" fillId="0" borderId="0" xfId="0" quotePrefix="1" applyFont="1">
      <alignment vertical="center"/>
    </xf>
    <xf numFmtId="0" fontId="21" fillId="0" borderId="0" xfId="0" applyFont="1" applyBorder="1">
      <alignment vertical="center"/>
    </xf>
    <xf numFmtId="0" fontId="21" fillId="33" borderId="0" xfId="0" quotePrefix="1" applyFont="1" applyFill="1" applyBorder="1">
      <alignment vertical="center"/>
    </xf>
    <xf numFmtId="0" fontId="21" fillId="33" borderId="0" xfId="0" applyFont="1" applyFill="1" applyBorder="1">
      <alignment vertical="center"/>
    </xf>
    <xf numFmtId="14" fontId="21" fillId="0" borderId="0" xfId="0" applyNumberFormat="1" applyFont="1">
      <alignment vertical="center"/>
    </xf>
    <xf numFmtId="0" fontId="24" fillId="34" borderId="10" xfId="0" applyFont="1" applyFill="1" applyBorder="1" applyAlignment="1">
      <alignment horizontal="center" vertical="center"/>
    </xf>
    <xf numFmtId="0" fontId="21" fillId="0" borderId="0" xfId="0" applyFont="1" applyAlignment="1">
      <alignment horizontal="right" vertical="center"/>
    </xf>
    <xf numFmtId="0" fontId="18" fillId="0" borderId="0" xfId="0" applyFont="1" applyAlignment="1">
      <alignment vertical="center" wrapText="1"/>
    </xf>
    <xf numFmtId="22" fontId="18" fillId="0" borderId="0" xfId="0" applyNumberFormat="1" applyFont="1" applyAlignment="1">
      <alignment vertical="center" wrapText="1"/>
    </xf>
    <xf numFmtId="0" fontId="18" fillId="0" borderId="0" xfId="0" applyFont="1" applyAlignment="1">
      <alignment vertical="center" wrapText="1"/>
    </xf>
    <xf numFmtId="22" fontId="18" fillId="0" borderId="0" xfId="0" applyNumberFormat="1" applyFont="1" applyAlignment="1">
      <alignment vertical="center" wrapText="1"/>
    </xf>
    <xf numFmtId="176" fontId="21" fillId="0" borderId="0" xfId="0" applyNumberFormat="1" applyFont="1">
      <alignment vertical="center"/>
    </xf>
    <xf numFmtId="176" fontId="21" fillId="0" borderId="0" xfId="0" quotePrefix="1" applyNumberFormat="1" applyFont="1">
      <alignment vertical="center"/>
    </xf>
    <xf numFmtId="176" fontId="20" fillId="0" borderId="0" xfId="0" applyNumberFormat="1" applyFont="1" applyAlignment="1">
      <alignment vertical="center" wrapText="1"/>
    </xf>
    <xf numFmtId="0" fontId="18" fillId="0" borderId="0" xfId="0" applyFont="1" applyAlignment="1">
      <alignment vertical="center" wrapText="1"/>
    </xf>
    <xf numFmtId="22" fontId="18" fillId="0" borderId="0" xfId="0" applyNumberFormat="1" applyFont="1" applyAlignment="1">
      <alignment vertical="center" wrapText="1"/>
    </xf>
  </cellXfs>
  <cellStyles count="50">
    <cellStyle name="20% - 着色 1" xfId="19" builtinId="30" customBuiltin="1"/>
    <cellStyle name="20% - 着色 2" xfId="23" builtinId="34" customBuiltin="1"/>
    <cellStyle name="20% - 着色 3" xfId="27" builtinId="38" customBuiltin="1"/>
    <cellStyle name="20% - 着色 4" xfId="31" builtinId="42" customBuiltin="1"/>
    <cellStyle name="20% - 着色 5" xfId="35" builtinId="46" customBuiltin="1"/>
    <cellStyle name="20% - 着色 6" xfId="39" builtinId="50" customBuiltin="1"/>
    <cellStyle name="40% - 着色 1" xfId="20" builtinId="31" customBuiltin="1"/>
    <cellStyle name="40% - 着色 2" xfId="24" builtinId="35" customBuiltin="1"/>
    <cellStyle name="40% - 着色 3" xfId="28" builtinId="39" customBuiltin="1"/>
    <cellStyle name="40% - 着色 4" xfId="32" builtinId="43" customBuiltin="1"/>
    <cellStyle name="40% - 着色 5" xfId="36" builtinId="47" customBuiltin="1"/>
    <cellStyle name="40% - 着色 6" xfId="40" builtinId="51" customBuiltin="1"/>
    <cellStyle name="60% - 着色 1" xfId="21" builtinId="32" customBuiltin="1"/>
    <cellStyle name="60% - 着色 1 2" xfId="44" xr:uid="{00000000-0005-0000-0000-00002F000000}"/>
    <cellStyle name="60% - 着色 2" xfId="25" builtinId="36" customBuiltin="1"/>
    <cellStyle name="60% - 着色 2 2" xfId="45" xr:uid="{00000000-0005-0000-0000-000030000000}"/>
    <cellStyle name="60% - 着色 3" xfId="29" builtinId="40" customBuiltin="1"/>
    <cellStyle name="60% - 着色 3 2" xfId="46" xr:uid="{00000000-0005-0000-0000-000031000000}"/>
    <cellStyle name="60% - 着色 4" xfId="33" builtinId="44" customBuiltin="1"/>
    <cellStyle name="60% - 着色 4 2" xfId="47" xr:uid="{00000000-0005-0000-0000-000032000000}"/>
    <cellStyle name="60% - 着色 5" xfId="37" builtinId="48" customBuiltin="1"/>
    <cellStyle name="60% - 着色 5 2" xfId="48" xr:uid="{00000000-0005-0000-0000-000033000000}"/>
    <cellStyle name="60% - 着色 6" xfId="41" builtinId="52" customBuiltin="1"/>
    <cellStyle name="60% - 着色 6 2" xfId="49" xr:uid="{00000000-0005-0000-0000-000034000000}"/>
    <cellStyle name="标题" xfId="1" builtinId="15" customBuiltin="1"/>
    <cellStyle name="标题 1" xfId="2" builtinId="16" customBuiltin="1"/>
    <cellStyle name="标题 2" xfId="3" builtinId="17" customBuiltin="1"/>
    <cellStyle name="标题 3" xfId="4" builtinId="18" customBuiltin="1"/>
    <cellStyle name="标题 4" xfId="5" builtinId="19" customBuiltin="1"/>
    <cellStyle name="标题 5" xfId="42" xr:uid="{00000000-0005-0000-0000-000035000000}"/>
    <cellStyle name="差" xfId="7" builtinId="27" customBuiltin="1"/>
    <cellStyle name="常规" xfId="0" builtinId="0"/>
    <cellStyle name="好" xfId="6" builtinId="26" customBuiltin="1"/>
    <cellStyle name="汇总" xfId="17" builtinId="25" customBuiltin="1"/>
    <cellStyle name="计算" xfId="11" builtinId="22" customBuiltin="1"/>
    <cellStyle name="检查单元格" xfId="13" builtinId="23" customBuiltin="1"/>
    <cellStyle name="解释性文本" xfId="16" builtinId="53" customBuiltin="1"/>
    <cellStyle name="警告文本" xfId="14" builtinId="11" customBuiltin="1"/>
    <cellStyle name="链接单元格" xfId="12" builtinId="24" customBuiltin="1"/>
    <cellStyle name="适中" xfId="8" builtinId="28" customBuiltin="1"/>
    <cellStyle name="适中 2" xfId="43" xr:uid="{00000000-0005-0000-0000-000036000000}"/>
    <cellStyle name="输出" xfId="10" builtinId="21" customBuiltin="1"/>
    <cellStyle name="输入" xfId="9" builtinId="20" customBuiltin="1"/>
    <cellStyle name="着色 1" xfId="18" builtinId="29" customBuiltin="1"/>
    <cellStyle name="着色 2" xfId="22" builtinId="33" customBuiltin="1"/>
    <cellStyle name="着色 3" xfId="26" builtinId="37" customBuiltin="1"/>
    <cellStyle name="着色 4" xfId="30" builtinId="41" customBuiltin="1"/>
    <cellStyle name="着色 5" xfId="34" builtinId="45" customBuiltin="1"/>
    <cellStyle name="着色 6" xfId="38" builtinId="49" customBuiltin="1"/>
    <cellStyle name="注释" xfId="15" builtinId="10" customBuiltin="1"/>
  </cellStyles>
  <dxfs count="0"/>
  <tableStyles count="0" defaultTableStyle="TableStyleMedium9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26</xdr:col>
      <xdr:colOff>9525</xdr:colOff>
      <xdr:row>33</xdr:row>
      <xdr:rowOff>104775</xdr:rowOff>
    </xdr:from>
    <xdr:to>
      <xdr:col>31</xdr:col>
      <xdr:colOff>466725</xdr:colOff>
      <xdr:row>45</xdr:row>
      <xdr:rowOff>38100</xdr:rowOff>
    </xdr:to>
    <xdr:sp macro="" textlink="">
      <xdr:nvSpPr>
        <xdr:cNvPr id="2" name="矩形 1">
          <a:extLst>
            <a:ext uri="{FF2B5EF4-FFF2-40B4-BE49-F238E27FC236}">
              <a16:creationId xmlns:a16="http://schemas.microsoft.com/office/drawing/2014/main" id="{90962A5C-594C-42B7-9912-B4696BDBAD14}"/>
            </a:ext>
          </a:extLst>
        </xdr:cNvPr>
        <xdr:cNvSpPr/>
      </xdr:nvSpPr>
      <xdr:spPr>
        <a:xfrm>
          <a:off x="11649075" y="4972050"/>
          <a:ext cx="4029075" cy="1647825"/>
        </a:xfrm>
        <a:prstGeom prst="rect">
          <a:avLst/>
        </a:prstGeom>
        <a:solidFill>
          <a:schemeClr val="bg1">
            <a:lumMod val="85000"/>
          </a:schemeClr>
        </a:solidFill>
        <a:ln>
          <a:solidFill>
            <a:schemeClr val="tx1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en-US" altLang="zh-CN" sz="2400">
            <a:solidFill>
              <a:schemeClr val="tx1"/>
            </a:solidFill>
          </a:endParaRPr>
        </a:p>
        <a:p>
          <a:pPr algn="l"/>
          <a:r>
            <a:rPr lang="zh-CN" altLang="en-US" sz="2400">
              <a:solidFill>
                <a:schemeClr val="tx1"/>
              </a:solidFill>
            </a:rPr>
            <a:t>初始化→评奖→抽取幸运奖</a:t>
          </a:r>
          <a:endParaRPr lang="en-US" altLang="zh-CN" sz="2400">
            <a:solidFill>
              <a:schemeClr val="tx1"/>
            </a:solidFill>
          </a:endParaRPr>
        </a:p>
        <a:p>
          <a:pPr algn="l"/>
          <a:endParaRPr lang="en-US" altLang="zh-CN" sz="1400">
            <a:solidFill>
              <a:schemeClr val="tx1"/>
            </a:solidFill>
          </a:endParaRP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en-US" altLang="zh-CN" sz="1400">
              <a:solidFill>
                <a:schemeClr val="tx1"/>
              </a:solidFill>
            </a:rPr>
            <a:t>cn-funny.xlsm    </a:t>
          </a:r>
          <a:r>
            <a:rPr lang="en-US" altLang="zh-CN" sz="14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cn-voice.xlsm   cn-31.xlsm  cn-sport</a:t>
          </a:r>
        </a:p>
        <a:p>
          <a:pPr marL="0" marR="0" lvl="0" indent="0" algn="l" defTabSz="914400" eaLnBrk="1" fontAlgn="auto" latinLnBrk="0" hangingPunct="1">
            <a:lnSpc>
              <a:spcPct val="100000"/>
            </a:lnSpc>
            <a:spcBef>
              <a:spcPts val="0"/>
            </a:spcBef>
            <a:spcAft>
              <a:spcPts val="0"/>
            </a:spcAft>
            <a:buClrTx/>
            <a:buSzTx/>
            <a:buFontTx/>
            <a:buNone/>
            <a:tabLst/>
            <a:defRPr/>
          </a:pPr>
          <a:r>
            <a:rPr lang="zh-CN" altLang="en-US" sz="1400">
              <a:solidFill>
                <a:schemeClr val="tx1"/>
              </a:solidFill>
              <a:effectLst/>
              <a:latin typeface="+mn-lt"/>
              <a:ea typeface="+mn-ea"/>
              <a:cs typeface="+mn-cs"/>
            </a:rPr>
            <a:t>只能打开一个文件（否则会冲突）</a:t>
          </a:r>
          <a:endParaRPr lang="zh-CN" altLang="zh-CN" sz="1400">
            <a:solidFill>
              <a:schemeClr val="tx1"/>
            </a:solidFill>
            <a:effectLst/>
          </a:endParaRPr>
        </a:p>
      </xdr:txBody>
    </xdr:sp>
    <xdr:clientData/>
  </xdr:twoCellAnchor>
</xdr: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Sheet1"/>
  <dimension ref="A1:J38"/>
  <sheetViews>
    <sheetView workbookViewId="0">
      <selection activeCell="E5" sqref="E5"/>
    </sheetView>
  </sheetViews>
  <sheetFormatPr defaultRowHeight="13.5" x14ac:dyDescent="0.15"/>
  <cols>
    <col min="1" max="6" width="9" style="1"/>
    <col min="7" max="7" width="22.25" style="1" customWidth="1"/>
    <col min="8" max="8" width="13.875" style="1" customWidth="1"/>
    <col min="9" max="9" width="18.75" style="1" customWidth="1"/>
    <col min="10" max="10" width="17.375" style="1" customWidth="1"/>
    <col min="11" max="16384" width="9" style="1"/>
  </cols>
  <sheetData>
    <row r="1" spans="1:10" ht="60" x14ac:dyDescent="0.15">
      <c r="A1" s="21" t="s">
        <v>29</v>
      </c>
      <c r="B1" s="21" t="s">
        <v>166</v>
      </c>
      <c r="C1" s="21" t="s">
        <v>138</v>
      </c>
      <c r="D1" s="21">
        <v>4.0629999999999997</v>
      </c>
      <c r="E1" s="21">
        <v>9</v>
      </c>
      <c r="F1" s="21">
        <v>45</v>
      </c>
      <c r="G1" s="21">
        <v>64</v>
      </c>
      <c r="H1" s="22">
        <v>43190.767500000002</v>
      </c>
      <c r="I1" s="22">
        <v>42998.54215277778</v>
      </c>
      <c r="J1" s="22">
        <v>43197</v>
      </c>
    </row>
    <row r="2" spans="1:10" ht="108" x14ac:dyDescent="0.15">
      <c r="A2" s="21" t="s">
        <v>29</v>
      </c>
      <c r="B2" s="21" t="s">
        <v>139</v>
      </c>
      <c r="C2" s="21" t="s">
        <v>140</v>
      </c>
      <c r="D2" s="21">
        <v>4.0720000000000001</v>
      </c>
      <c r="E2" s="21">
        <v>13</v>
      </c>
      <c r="F2" s="21">
        <v>79</v>
      </c>
      <c r="G2" s="21">
        <v>109</v>
      </c>
      <c r="H2" s="22">
        <v>43191.800833333335</v>
      </c>
      <c r="I2" s="22">
        <v>42998.54215277778</v>
      </c>
      <c r="J2" s="22">
        <v>43197</v>
      </c>
    </row>
    <row r="3" spans="1:10" ht="36" x14ac:dyDescent="0.15">
      <c r="A3" s="21" t="s">
        <v>0</v>
      </c>
      <c r="B3" s="21" t="s">
        <v>141</v>
      </c>
      <c r="C3" s="21" t="s">
        <v>142</v>
      </c>
      <c r="D3" s="21">
        <v>0.5</v>
      </c>
      <c r="E3" s="21">
        <v>7</v>
      </c>
      <c r="F3" s="21">
        <v>9</v>
      </c>
      <c r="G3" s="21">
        <v>12</v>
      </c>
      <c r="H3" s="22">
        <v>43191.91510416667</v>
      </c>
      <c r="I3" s="22">
        <v>42976.788611111115</v>
      </c>
      <c r="J3" s="22">
        <v>43197</v>
      </c>
    </row>
    <row r="4" spans="1:10" ht="36" x14ac:dyDescent="0.15">
      <c r="A4" s="21" t="s">
        <v>11</v>
      </c>
      <c r="B4" s="21" t="s">
        <v>167</v>
      </c>
      <c r="C4" s="21" t="s">
        <v>143</v>
      </c>
      <c r="D4" s="21">
        <v>0.23300000000000001</v>
      </c>
      <c r="E4" s="21">
        <v>7</v>
      </c>
      <c r="F4" s="21">
        <v>4</v>
      </c>
      <c r="G4" s="21">
        <v>7</v>
      </c>
      <c r="H4" s="22">
        <v>43191.998159722221</v>
      </c>
      <c r="I4" s="22">
        <v>43143.751354166663</v>
      </c>
      <c r="J4" s="22">
        <v>43197</v>
      </c>
    </row>
    <row r="5" spans="1:10" ht="36" x14ac:dyDescent="0.15">
      <c r="A5" s="21" t="s">
        <v>28</v>
      </c>
      <c r="B5" s="21" t="s">
        <v>168</v>
      </c>
      <c r="C5" s="21" t="s">
        <v>144</v>
      </c>
      <c r="D5" s="21">
        <v>0.20499999999999999</v>
      </c>
      <c r="E5" s="21">
        <v>10</v>
      </c>
      <c r="F5" s="21">
        <v>14</v>
      </c>
      <c r="G5" s="21">
        <v>18</v>
      </c>
      <c r="H5" s="22">
        <v>43192.500937500001</v>
      </c>
      <c r="I5" s="22">
        <v>43142.438402777778</v>
      </c>
      <c r="J5" s="22">
        <v>43197</v>
      </c>
    </row>
    <row r="6" spans="1:10" ht="84" x14ac:dyDescent="0.15">
      <c r="A6" s="21" t="s">
        <v>12</v>
      </c>
      <c r="B6" s="21" t="s">
        <v>169</v>
      </c>
      <c r="C6" s="21" t="s">
        <v>145</v>
      </c>
      <c r="D6" s="21">
        <v>2.056</v>
      </c>
      <c r="E6" s="21">
        <v>11</v>
      </c>
      <c r="F6" s="21">
        <v>82</v>
      </c>
      <c r="G6" s="21">
        <v>124</v>
      </c>
      <c r="H6" s="22">
        <v>43192.580694444441</v>
      </c>
      <c r="I6" s="22">
        <v>42963.379930555559</v>
      </c>
      <c r="J6" s="22">
        <v>43197</v>
      </c>
    </row>
    <row r="7" spans="1:10" ht="72" x14ac:dyDescent="0.15">
      <c r="A7" s="21" t="s">
        <v>29</v>
      </c>
      <c r="B7" s="21" t="s">
        <v>170</v>
      </c>
      <c r="C7" s="21" t="s">
        <v>146</v>
      </c>
      <c r="D7" s="21">
        <v>3.5510000000000002</v>
      </c>
      <c r="E7" s="21">
        <v>10</v>
      </c>
      <c r="F7" s="21">
        <v>16</v>
      </c>
      <c r="G7" s="21">
        <v>84</v>
      </c>
      <c r="H7" s="22">
        <v>43192.738125000003</v>
      </c>
      <c r="I7" s="22">
        <v>42998.54215277778</v>
      </c>
      <c r="J7" s="22">
        <v>43197</v>
      </c>
    </row>
    <row r="8" spans="1:10" ht="60" x14ac:dyDescent="0.15">
      <c r="A8" s="21" t="s">
        <v>2</v>
      </c>
      <c r="B8" s="21" t="s">
        <v>147</v>
      </c>
      <c r="C8" s="21" t="s">
        <v>148</v>
      </c>
      <c r="D8" s="21">
        <v>0.71099999999999997</v>
      </c>
      <c r="E8" s="21">
        <v>9</v>
      </c>
      <c r="F8" s="21">
        <v>10</v>
      </c>
      <c r="G8" s="21">
        <v>18</v>
      </c>
      <c r="H8" s="22">
        <v>43192.999930555554</v>
      </c>
      <c r="I8" s="22">
        <v>43017.511145833334</v>
      </c>
      <c r="J8" s="22">
        <v>43197</v>
      </c>
    </row>
    <row r="9" spans="1:10" ht="72" x14ac:dyDescent="0.15">
      <c r="A9" s="21" t="s">
        <v>178</v>
      </c>
      <c r="B9" s="21" t="s">
        <v>180</v>
      </c>
      <c r="C9" s="21" t="s">
        <v>179</v>
      </c>
      <c r="D9" s="21">
        <v>0.2</v>
      </c>
      <c r="E9" s="21">
        <v>7</v>
      </c>
      <c r="F9" s="21">
        <v>4</v>
      </c>
      <c r="G9" s="21">
        <v>11</v>
      </c>
      <c r="H9" s="22">
        <v>43193.949756944443</v>
      </c>
      <c r="I9" s="22">
        <v>43172.783472222225</v>
      </c>
      <c r="J9" s="22">
        <v>43197</v>
      </c>
    </row>
    <row r="10" spans="1:10" ht="48" x14ac:dyDescent="0.15">
      <c r="A10" s="21" t="s">
        <v>1</v>
      </c>
      <c r="B10" s="21" t="s">
        <v>171</v>
      </c>
      <c r="C10" s="21" t="s">
        <v>149</v>
      </c>
      <c r="D10" s="21">
        <v>5.0469999999999997</v>
      </c>
      <c r="E10" s="21">
        <v>8</v>
      </c>
      <c r="F10" s="21">
        <v>18</v>
      </c>
      <c r="G10" s="21">
        <v>35</v>
      </c>
      <c r="H10" s="22">
        <v>43194.257361111115</v>
      </c>
      <c r="I10" s="22">
        <v>42657.79420138889</v>
      </c>
      <c r="J10" s="22">
        <v>43197</v>
      </c>
    </row>
    <row r="11" spans="1:10" ht="48" x14ac:dyDescent="0.15">
      <c r="A11" s="21" t="s">
        <v>12</v>
      </c>
      <c r="B11" s="21" t="s">
        <v>150</v>
      </c>
      <c r="C11" s="21" t="s">
        <v>151</v>
      </c>
      <c r="D11" s="21">
        <v>3.2549999999999999</v>
      </c>
      <c r="E11" s="21">
        <v>9</v>
      </c>
      <c r="F11" s="21">
        <v>101</v>
      </c>
      <c r="G11" s="21">
        <v>132</v>
      </c>
      <c r="H11" s="22">
        <v>43194.528020833335</v>
      </c>
      <c r="I11" s="22">
        <v>42963.379930555559</v>
      </c>
      <c r="J11" s="22">
        <v>43197</v>
      </c>
    </row>
    <row r="12" spans="1:10" ht="48" x14ac:dyDescent="0.15">
      <c r="A12" s="21" t="s">
        <v>30</v>
      </c>
      <c r="B12" s="21" t="s">
        <v>172</v>
      </c>
      <c r="C12" s="21" t="s">
        <v>152</v>
      </c>
      <c r="D12" s="21">
        <v>0.501</v>
      </c>
      <c r="E12" s="21">
        <v>7</v>
      </c>
      <c r="F12" s="21">
        <v>8</v>
      </c>
      <c r="G12" s="21">
        <v>40</v>
      </c>
      <c r="H12" s="22">
        <v>43194.537777777776</v>
      </c>
      <c r="I12" s="22">
        <v>42924.990173611113</v>
      </c>
      <c r="J12" s="22">
        <v>43197</v>
      </c>
    </row>
    <row r="13" spans="1:10" ht="96" x14ac:dyDescent="0.15">
      <c r="A13" s="21" t="s">
        <v>29</v>
      </c>
      <c r="B13" s="21" t="s">
        <v>173</v>
      </c>
      <c r="C13" s="21" t="s">
        <v>153</v>
      </c>
      <c r="D13" s="21">
        <v>2.7930000000000001</v>
      </c>
      <c r="E13" s="21">
        <v>10</v>
      </c>
      <c r="F13" s="21">
        <v>28</v>
      </c>
      <c r="G13" s="21">
        <v>91</v>
      </c>
      <c r="H13" s="22">
        <v>43194.571770833332</v>
      </c>
      <c r="I13" s="22">
        <v>42998.54215277778</v>
      </c>
      <c r="J13" s="22">
        <v>43197</v>
      </c>
    </row>
    <row r="14" spans="1:10" ht="48" x14ac:dyDescent="0.15">
      <c r="A14" s="21" t="s">
        <v>133</v>
      </c>
      <c r="B14" s="21" t="s">
        <v>174</v>
      </c>
      <c r="C14" s="21" t="s">
        <v>154</v>
      </c>
      <c r="D14" s="21">
        <v>1.974</v>
      </c>
      <c r="E14" s="21">
        <v>2</v>
      </c>
      <c r="F14" s="21">
        <v>75</v>
      </c>
      <c r="G14" s="21">
        <v>78</v>
      </c>
      <c r="H14" s="22">
        <v>43194.817187499997</v>
      </c>
      <c r="I14" s="22">
        <v>43077.329340277778</v>
      </c>
      <c r="J14" s="22">
        <v>43197</v>
      </c>
    </row>
    <row r="15" spans="1:10" ht="36" x14ac:dyDescent="0.15">
      <c r="A15" s="21" t="s">
        <v>2</v>
      </c>
      <c r="B15" s="21" t="s">
        <v>155</v>
      </c>
      <c r="C15" s="21" t="s">
        <v>156</v>
      </c>
      <c r="D15" s="21">
        <v>0.95099999999999996</v>
      </c>
      <c r="E15" s="21">
        <v>8</v>
      </c>
      <c r="F15" s="21">
        <v>10</v>
      </c>
      <c r="G15" s="21">
        <v>15</v>
      </c>
      <c r="H15" s="22">
        <v>43194.986805555556</v>
      </c>
      <c r="I15" s="22">
        <v>43017.511145833334</v>
      </c>
      <c r="J15" s="22">
        <v>43197</v>
      </c>
    </row>
    <row r="16" spans="1:10" ht="84" x14ac:dyDescent="0.15">
      <c r="A16" s="21" t="s">
        <v>3</v>
      </c>
      <c r="B16" s="21" t="s">
        <v>157</v>
      </c>
      <c r="C16" s="21" t="s">
        <v>158</v>
      </c>
      <c r="D16" s="21">
        <v>1.579</v>
      </c>
      <c r="E16" s="21">
        <v>5</v>
      </c>
      <c r="F16" s="21">
        <v>65</v>
      </c>
      <c r="G16" s="21">
        <v>68</v>
      </c>
      <c r="H16" s="22">
        <v>43195.530729166669</v>
      </c>
      <c r="I16" s="22">
        <v>43137.694687499999</v>
      </c>
      <c r="J16" s="22">
        <v>43197</v>
      </c>
    </row>
    <row r="17" spans="1:10" ht="72" x14ac:dyDescent="0.15">
      <c r="A17" s="21" t="s">
        <v>12</v>
      </c>
      <c r="B17" s="21" t="s">
        <v>159</v>
      </c>
      <c r="C17" s="21" t="s">
        <v>160</v>
      </c>
      <c r="D17" s="21">
        <v>2.5070000000000001</v>
      </c>
      <c r="E17" s="21">
        <v>12</v>
      </c>
      <c r="F17" s="21">
        <v>57</v>
      </c>
      <c r="G17" s="21">
        <v>75</v>
      </c>
      <c r="H17" s="22">
        <v>43195.551145833335</v>
      </c>
      <c r="I17" s="22">
        <v>42963.379930555559</v>
      </c>
      <c r="J17" s="22">
        <v>43197</v>
      </c>
    </row>
    <row r="18" spans="1:10" ht="48" x14ac:dyDescent="0.15">
      <c r="A18" s="21" t="s">
        <v>28</v>
      </c>
      <c r="B18" s="21" t="s">
        <v>175</v>
      </c>
      <c r="C18" s="21" t="s">
        <v>161</v>
      </c>
      <c r="D18" s="21">
        <v>9.4E-2</v>
      </c>
      <c r="E18" s="21">
        <v>6</v>
      </c>
      <c r="F18" s="21">
        <v>10</v>
      </c>
      <c r="G18" s="21">
        <v>14</v>
      </c>
      <c r="H18" s="22">
        <v>43195.895173611112</v>
      </c>
      <c r="I18" s="22">
        <v>43142.438402777778</v>
      </c>
      <c r="J18" s="22">
        <v>43197</v>
      </c>
    </row>
    <row r="19" spans="1:10" ht="72" x14ac:dyDescent="0.15">
      <c r="A19" s="21" t="s">
        <v>11</v>
      </c>
      <c r="B19" s="21" t="s">
        <v>176</v>
      </c>
      <c r="C19" s="21" t="s">
        <v>162</v>
      </c>
      <c r="D19" s="21">
        <v>0.69099999999999995</v>
      </c>
      <c r="E19" s="21">
        <v>2</v>
      </c>
      <c r="F19" s="21">
        <v>4</v>
      </c>
      <c r="G19" s="21">
        <v>7</v>
      </c>
      <c r="H19" s="22">
        <v>43195.971562500003</v>
      </c>
      <c r="I19" s="22">
        <v>43143.751354166663</v>
      </c>
      <c r="J19" s="22">
        <v>43197</v>
      </c>
    </row>
    <row r="20" spans="1:10" ht="48" x14ac:dyDescent="0.15">
      <c r="A20" s="21" t="s">
        <v>2</v>
      </c>
      <c r="B20" s="21" t="s">
        <v>163</v>
      </c>
      <c r="C20" s="21" t="s">
        <v>164</v>
      </c>
      <c r="D20" s="21">
        <v>0.96599999999999997</v>
      </c>
      <c r="E20" s="21">
        <v>4</v>
      </c>
      <c r="F20" s="21">
        <v>12</v>
      </c>
      <c r="G20" s="21">
        <v>19</v>
      </c>
      <c r="H20" s="22">
        <v>43195.99145833333</v>
      </c>
      <c r="I20" s="22">
        <v>43017.511145833334</v>
      </c>
      <c r="J20" s="22">
        <v>43197</v>
      </c>
    </row>
    <row r="21" spans="1:10" ht="48" x14ac:dyDescent="0.15">
      <c r="A21" s="21" t="s">
        <v>4</v>
      </c>
      <c r="B21" s="21" t="s">
        <v>177</v>
      </c>
      <c r="C21" s="21" t="s">
        <v>165</v>
      </c>
      <c r="D21" s="21">
        <v>2.3690000000000002</v>
      </c>
      <c r="E21" s="21">
        <v>4</v>
      </c>
      <c r="F21" s="21">
        <v>1</v>
      </c>
      <c r="G21" s="21">
        <v>41</v>
      </c>
      <c r="H21" s="22">
        <v>43196.92527777778</v>
      </c>
      <c r="I21" s="22">
        <v>43110.880069444444</v>
      </c>
      <c r="J21" s="22">
        <v>43197</v>
      </c>
    </row>
    <row r="22" spans="1:10" x14ac:dyDescent="0.15">
      <c r="A22" s="16"/>
      <c r="B22" s="16"/>
      <c r="C22" s="16"/>
      <c r="D22" s="16"/>
      <c r="E22" s="16"/>
      <c r="F22" s="16"/>
      <c r="G22" s="16"/>
      <c r="H22" s="17"/>
      <c r="I22" s="17"/>
      <c r="J22" s="17"/>
    </row>
    <row r="23" spans="1:10" x14ac:dyDescent="0.15">
      <c r="A23" s="14"/>
      <c r="B23" s="14"/>
      <c r="C23" s="14"/>
      <c r="D23" s="14"/>
      <c r="E23" s="14"/>
      <c r="F23" s="14"/>
      <c r="G23" s="14"/>
      <c r="H23" s="15"/>
      <c r="I23" s="15"/>
      <c r="J23" s="15"/>
    </row>
    <row r="24" spans="1:10" x14ac:dyDescent="0.15">
      <c r="A24" s="14"/>
      <c r="B24" s="14"/>
      <c r="C24" s="14"/>
      <c r="D24" s="14"/>
      <c r="E24" s="14"/>
      <c r="F24" s="14"/>
      <c r="G24" s="14"/>
      <c r="H24" s="15"/>
      <c r="I24" s="15"/>
      <c r="J24" s="15"/>
    </row>
    <row r="25" spans="1:10" x14ac:dyDescent="0.15">
      <c r="A25" s="14"/>
      <c r="B25" s="14"/>
      <c r="C25" s="14"/>
      <c r="D25" s="14"/>
      <c r="E25" s="14"/>
      <c r="F25" s="14"/>
      <c r="G25" s="14"/>
      <c r="H25" s="15"/>
      <c r="I25" s="15"/>
      <c r="J25" s="15"/>
    </row>
    <row r="26" spans="1:10" x14ac:dyDescent="0.15">
      <c r="A26" s="14"/>
      <c r="B26" s="14"/>
      <c r="C26" s="14"/>
      <c r="D26" s="14"/>
      <c r="E26" s="14"/>
      <c r="F26" s="14"/>
      <c r="G26" s="14"/>
      <c r="H26" s="15"/>
      <c r="I26" s="15"/>
      <c r="J26" s="15"/>
    </row>
    <row r="27" spans="1:10" x14ac:dyDescent="0.15">
      <c r="A27" s="14"/>
      <c r="B27" s="14"/>
      <c r="C27" s="14"/>
      <c r="D27" s="14"/>
      <c r="E27" s="14"/>
      <c r="F27" s="14"/>
      <c r="G27" s="14"/>
      <c r="H27" s="15"/>
      <c r="I27" s="15"/>
      <c r="J27" s="15"/>
    </row>
    <row r="28" spans="1:10" x14ac:dyDescent="0.15">
      <c r="A28" s="14"/>
      <c r="B28" s="14"/>
      <c r="C28" s="14"/>
      <c r="D28" s="14"/>
      <c r="E28" s="14"/>
      <c r="F28" s="14"/>
      <c r="G28" s="14"/>
      <c r="H28" s="15"/>
      <c r="I28" s="15"/>
      <c r="J28" s="15"/>
    </row>
    <row r="29" spans="1:10" x14ac:dyDescent="0.15">
      <c r="A29" s="14"/>
      <c r="B29" s="14"/>
      <c r="C29" s="14"/>
      <c r="D29" s="14"/>
      <c r="E29" s="14"/>
      <c r="F29" s="14"/>
      <c r="G29" s="14"/>
      <c r="H29" s="15"/>
      <c r="I29" s="15"/>
      <c r="J29" s="15"/>
    </row>
    <row r="30" spans="1:10" x14ac:dyDescent="0.15">
      <c r="A30" s="14"/>
      <c r="B30" s="14"/>
      <c r="C30" s="14"/>
      <c r="D30" s="14"/>
      <c r="E30" s="14"/>
      <c r="F30" s="14"/>
      <c r="G30" s="14"/>
      <c r="H30" s="15"/>
      <c r="I30" s="15"/>
      <c r="J30" s="15"/>
    </row>
    <row r="31" spans="1:10" x14ac:dyDescent="0.15">
      <c r="A31" s="14"/>
      <c r="B31" s="14"/>
      <c r="C31" s="14"/>
      <c r="D31" s="14"/>
      <c r="E31" s="14"/>
      <c r="F31" s="14"/>
      <c r="G31" s="14"/>
      <c r="H31" s="15"/>
      <c r="I31" s="15"/>
      <c r="J31" s="15"/>
    </row>
    <row r="32" spans="1:10" x14ac:dyDescent="0.15">
      <c r="A32" s="14"/>
      <c r="B32" s="14"/>
      <c r="C32" s="14"/>
      <c r="D32" s="14"/>
      <c r="E32" s="14"/>
      <c r="F32" s="14"/>
      <c r="G32" s="14"/>
      <c r="H32" s="15"/>
      <c r="I32" s="15"/>
      <c r="J32" s="15"/>
    </row>
    <row r="33" spans="1:10" x14ac:dyDescent="0.15">
      <c r="A33" s="14"/>
      <c r="B33" s="14"/>
      <c r="C33" s="14"/>
      <c r="D33" s="14"/>
      <c r="E33" s="14"/>
      <c r="F33" s="14"/>
      <c r="G33" s="14"/>
      <c r="H33" s="15"/>
      <c r="I33" s="15"/>
      <c r="J33" s="15"/>
    </row>
    <row r="34" spans="1:10" x14ac:dyDescent="0.15">
      <c r="A34" s="14"/>
      <c r="B34" s="14"/>
      <c r="C34" s="14"/>
      <c r="D34" s="14"/>
      <c r="E34" s="14"/>
      <c r="F34" s="14"/>
      <c r="G34" s="14"/>
      <c r="H34" s="15"/>
      <c r="I34" s="15"/>
      <c r="J34" s="15"/>
    </row>
    <row r="35" spans="1:10" x14ac:dyDescent="0.15">
      <c r="A35" s="14"/>
      <c r="B35" s="14"/>
      <c r="C35" s="14"/>
      <c r="D35" s="14"/>
      <c r="E35" s="14"/>
      <c r="F35" s="14"/>
      <c r="G35" s="14"/>
      <c r="H35" s="15"/>
      <c r="I35" s="15"/>
      <c r="J35" s="15"/>
    </row>
    <row r="36" spans="1:10" x14ac:dyDescent="0.15">
      <c r="A36" s="14"/>
      <c r="B36" s="14"/>
      <c r="C36" s="14"/>
      <c r="D36" s="14"/>
      <c r="E36" s="14"/>
      <c r="F36" s="14"/>
      <c r="G36" s="14"/>
      <c r="H36" s="15"/>
      <c r="I36" s="15"/>
      <c r="J36" s="15"/>
    </row>
    <row r="37" spans="1:10" x14ac:dyDescent="0.15">
      <c r="A37" s="14"/>
      <c r="B37" s="14"/>
      <c r="C37" s="14"/>
      <c r="D37" s="14"/>
      <c r="E37" s="14"/>
      <c r="F37" s="14"/>
      <c r="G37" s="14"/>
      <c r="H37" s="15"/>
      <c r="I37" s="15"/>
      <c r="J37" s="15"/>
    </row>
    <row r="38" spans="1:10" x14ac:dyDescent="0.15">
      <c r="A38" s="14"/>
      <c r="B38" s="14"/>
      <c r="C38" s="14"/>
      <c r="D38" s="14"/>
      <c r="E38" s="14"/>
      <c r="F38" s="14"/>
      <c r="G38" s="14"/>
      <c r="H38" s="15"/>
      <c r="I38" s="15"/>
      <c r="J38" s="15"/>
    </row>
  </sheetData>
  <phoneticPr fontId="19" type="noConversion"/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ED561F-3BB6-45C6-9700-E61F7DA045A4}">
  <sheetPr codeName="Sheet2"/>
  <dimension ref="A1:V112"/>
  <sheetViews>
    <sheetView topLeftCell="A64" workbookViewId="0">
      <selection activeCell="Q23" sqref="A1:Q23"/>
    </sheetView>
  </sheetViews>
  <sheetFormatPr defaultRowHeight="11.25" x14ac:dyDescent="0.15"/>
  <cols>
    <col min="1" max="1" width="2.375" style="6" customWidth="1"/>
    <col min="2" max="2" width="13.125" style="6" customWidth="1"/>
    <col min="3" max="3" width="2.375" style="6" customWidth="1"/>
    <col min="4" max="4" width="24" style="6" customWidth="1"/>
    <col min="5" max="5" width="2.125" style="6" customWidth="1"/>
    <col min="6" max="6" width="22" style="6" customWidth="1"/>
    <col min="7" max="7" width="2.5" style="6" customWidth="1"/>
    <col min="8" max="8" width="4.625" style="6" customWidth="1"/>
    <col min="9" max="9" width="1.75" style="6" customWidth="1"/>
    <col min="10" max="10" width="3.625" style="6" customWidth="1"/>
    <col min="11" max="11" width="1.625" style="6" customWidth="1"/>
    <col min="12" max="12" width="5.375" style="6" customWidth="1"/>
    <col min="13" max="13" width="2" style="6" customWidth="1"/>
    <col min="14" max="14" width="3.75" style="6" customWidth="1"/>
    <col min="15" max="15" width="2" style="6" customWidth="1"/>
    <col min="16" max="16" width="6.75" style="18" customWidth="1"/>
    <col min="17" max="17" width="2.5" style="8" customWidth="1"/>
    <col min="18" max="18" width="2" style="10" customWidth="1"/>
    <col min="19" max="19" width="8.5" style="6" customWidth="1"/>
    <col min="20" max="20" width="8.25" style="6" customWidth="1"/>
    <col min="21" max="21" width="8.5" style="6" customWidth="1"/>
    <col min="22" max="22" width="3.75" style="6" customWidth="1"/>
    <col min="23" max="16384" width="9" style="6"/>
  </cols>
  <sheetData>
    <row r="1" spans="1:22" s="2" customFormat="1" ht="23.25" customHeight="1" x14ac:dyDescent="0.15">
      <c r="A1" s="2" t="s">
        <v>6</v>
      </c>
      <c r="B1" s="2" t="s">
        <v>13</v>
      </c>
      <c r="C1" s="2" t="s">
        <v>6</v>
      </c>
      <c r="D1" s="2" t="s">
        <v>14</v>
      </c>
      <c r="G1" s="2" t="s">
        <v>6</v>
      </c>
      <c r="H1" s="2" t="s">
        <v>15</v>
      </c>
      <c r="I1" s="2" t="s">
        <v>6</v>
      </c>
      <c r="J1" s="3" t="s">
        <v>16</v>
      </c>
      <c r="K1" s="2" t="s">
        <v>6</v>
      </c>
      <c r="L1" s="3" t="s">
        <v>17</v>
      </c>
      <c r="M1" s="2" t="s">
        <v>6</v>
      </c>
      <c r="N1" s="3" t="s">
        <v>18</v>
      </c>
      <c r="O1" s="2" t="s">
        <v>6</v>
      </c>
      <c r="P1" s="20" t="s">
        <v>19</v>
      </c>
      <c r="Q1" s="4" t="s">
        <v>6</v>
      </c>
      <c r="R1" s="5"/>
      <c r="S1" s="2" t="s">
        <v>20</v>
      </c>
      <c r="T1" s="2" t="s">
        <v>21</v>
      </c>
      <c r="U1" s="2" t="s">
        <v>22</v>
      </c>
      <c r="V1" s="3" t="s">
        <v>23</v>
      </c>
    </row>
    <row r="2" spans="1:22" x14ac:dyDescent="0.15">
      <c r="A2" s="6" t="s">
        <v>24</v>
      </c>
      <c r="B2" s="7" t="s">
        <v>25</v>
      </c>
      <c r="C2" s="6" t="s">
        <v>24</v>
      </c>
      <c r="D2" s="7" t="s">
        <v>25</v>
      </c>
      <c r="G2" s="6" t="s">
        <v>24</v>
      </c>
      <c r="H2" s="7" t="s">
        <v>25</v>
      </c>
      <c r="I2" s="6" t="s">
        <v>24</v>
      </c>
      <c r="J2" s="7" t="s">
        <v>26</v>
      </c>
      <c r="K2" s="6" t="s">
        <v>24</v>
      </c>
      <c r="L2" s="7" t="s">
        <v>25</v>
      </c>
      <c r="M2" s="6" t="s">
        <v>24</v>
      </c>
      <c r="N2" s="7" t="s">
        <v>25</v>
      </c>
      <c r="O2" s="6" t="s">
        <v>24</v>
      </c>
      <c r="P2" s="19" t="s">
        <v>25</v>
      </c>
      <c r="Q2" s="8" t="s">
        <v>27</v>
      </c>
      <c r="R2" s="9"/>
    </row>
    <row r="3" spans="1:22" x14ac:dyDescent="0.15">
      <c r="A3" s="6" t="s">
        <v>5</v>
      </c>
      <c r="B3" s="6" t="str">
        <f>复制!A1</f>
        <v>winniex</v>
      </c>
      <c r="C3" s="6" t="s">
        <v>7</v>
      </c>
      <c r="D3" s="6" t="str">
        <f>复制!B1</f>
        <v>生病+《摇篮曲》 ｜ 华语好声音·无关爱情好声音</v>
      </c>
      <c r="E3" s="6" t="s">
        <v>8</v>
      </c>
      <c r="F3" s="6" t="str">
        <f>复制!C1</f>
        <v>/cn/@winniex/3aevfw</v>
      </c>
      <c r="G3" s="6" t="s">
        <v>9</v>
      </c>
      <c r="H3" s="6">
        <f>复制!D1</f>
        <v>4.0629999999999997</v>
      </c>
      <c r="I3" s="6" t="s">
        <v>6</v>
      </c>
      <c r="J3" s="6">
        <f>复制!E1</f>
        <v>9</v>
      </c>
      <c r="K3" s="6" t="s">
        <v>6</v>
      </c>
      <c r="L3" s="6">
        <f>复制!F1</f>
        <v>45</v>
      </c>
      <c r="M3" s="6" t="s">
        <v>6</v>
      </c>
      <c r="N3" s="6">
        <f>复制!G1</f>
        <v>64</v>
      </c>
      <c r="O3" s="6" t="s">
        <v>6</v>
      </c>
      <c r="P3" s="18">
        <f t="shared" ref="P3:P66" si="0">IF(B3&lt;&gt;0,(J3+L3)/N3,0)</f>
        <v>0.84375</v>
      </c>
      <c r="Q3" s="8" t="s">
        <v>6</v>
      </c>
      <c r="S3" s="11">
        <f ca="1">IF($B3&lt;&gt;0,复制!H1,NOW())</f>
        <v>43190.767500000002</v>
      </c>
      <c r="T3" s="11">
        <f ca="1">IF($B3&lt;&gt;0,复制!I1,NOW())</f>
        <v>42998.54215277778</v>
      </c>
      <c r="U3" s="11">
        <f ca="1">IF($B3&lt;&gt;0,复制!J1,NOW())</f>
        <v>43197</v>
      </c>
      <c r="V3" s="6">
        <f t="shared" ref="V3:V66" ca="1" si="1">IF(AND(T3&gt;=(U3-61),D3&lt;&gt;0),1,0)</f>
        <v>0</v>
      </c>
    </row>
    <row r="4" spans="1:22" x14ac:dyDescent="0.15">
      <c r="A4" s="6" t="s">
        <v>5</v>
      </c>
      <c r="B4" s="6" t="str">
        <f>复制!A2</f>
        <v>winniex</v>
      </c>
      <c r="C4" s="6" t="s">
        <v>7</v>
      </c>
      <c r="D4" s="6" t="str">
        <f>复制!B2</f>
        <v>《沉默的表示》+《青藏高原》-- 华语好声音·无关爱情好声音-- Music Challenge A</v>
      </c>
      <c r="E4" s="6" t="s">
        <v>8</v>
      </c>
      <c r="F4" s="6" t="str">
        <f>复制!C2</f>
        <v>/cn/@winniex/music-challenge-a</v>
      </c>
      <c r="G4" s="6" t="s">
        <v>9</v>
      </c>
      <c r="H4" s="6">
        <f>复制!D2</f>
        <v>4.0720000000000001</v>
      </c>
      <c r="I4" s="6" t="s">
        <v>6</v>
      </c>
      <c r="J4" s="6">
        <f>复制!E2</f>
        <v>13</v>
      </c>
      <c r="K4" s="6" t="s">
        <v>6</v>
      </c>
      <c r="L4" s="6">
        <f>复制!F2</f>
        <v>79</v>
      </c>
      <c r="M4" s="6" t="s">
        <v>6</v>
      </c>
      <c r="N4" s="6">
        <f>复制!G2</f>
        <v>109</v>
      </c>
      <c r="O4" s="6" t="s">
        <v>6</v>
      </c>
      <c r="P4" s="18">
        <f t="shared" si="0"/>
        <v>0.84403669724770647</v>
      </c>
      <c r="Q4" s="8" t="s">
        <v>6</v>
      </c>
      <c r="S4" s="11">
        <f ca="1">IF($B4&lt;&gt;0,复制!H2,NOW())</f>
        <v>43191.800833333335</v>
      </c>
      <c r="T4" s="11">
        <f ca="1">IF($B4&lt;&gt;0,复制!I2,NOW())</f>
        <v>42998.54215277778</v>
      </c>
      <c r="U4" s="11">
        <f ca="1">IF($B4&lt;&gt;0,复制!J2,NOW())</f>
        <v>43197</v>
      </c>
      <c r="V4" s="6">
        <f t="shared" ca="1" si="1"/>
        <v>0</v>
      </c>
    </row>
    <row r="5" spans="1:22" x14ac:dyDescent="0.15">
      <c r="A5" s="6" t="s">
        <v>5</v>
      </c>
      <c r="B5" s="6" t="str">
        <f>复制!A3</f>
        <v>mxg</v>
      </c>
      <c r="C5" s="6" t="s">
        <v>7</v>
      </c>
      <c r="D5" s="6" t="str">
        <f>复制!B3</f>
        <v>打工行――无关爱情好声音</v>
      </c>
      <c r="E5" s="6" t="s">
        <v>8</v>
      </c>
      <c r="F5" s="6" t="str">
        <f>复制!C3</f>
        <v>/cn/@mxg/elaua</v>
      </c>
      <c r="G5" s="6" t="s">
        <v>9</v>
      </c>
      <c r="H5" s="6">
        <f>复制!D3</f>
        <v>0.5</v>
      </c>
      <c r="I5" s="6" t="s">
        <v>6</v>
      </c>
      <c r="J5" s="6">
        <f>复制!E3</f>
        <v>7</v>
      </c>
      <c r="K5" s="6" t="s">
        <v>6</v>
      </c>
      <c r="L5" s="6">
        <f>复制!F3</f>
        <v>9</v>
      </c>
      <c r="M5" s="6" t="s">
        <v>6</v>
      </c>
      <c r="N5" s="6">
        <f>复制!G3</f>
        <v>12</v>
      </c>
      <c r="O5" s="6" t="s">
        <v>6</v>
      </c>
      <c r="P5" s="18">
        <f t="shared" si="0"/>
        <v>1.3333333333333333</v>
      </c>
      <c r="Q5" s="8" t="s">
        <v>6</v>
      </c>
      <c r="S5" s="11">
        <f ca="1">IF($B5&lt;&gt;0,复制!H3,NOW())</f>
        <v>43191.91510416667</v>
      </c>
      <c r="T5" s="11">
        <f ca="1">IF($B5&lt;&gt;0,复制!I3,NOW())</f>
        <v>42976.788611111115</v>
      </c>
      <c r="U5" s="11">
        <f ca="1">IF($B5&lt;&gt;0,复制!J3,NOW())</f>
        <v>43197</v>
      </c>
      <c r="V5" s="6">
        <f t="shared" ca="1" si="1"/>
        <v>0</v>
      </c>
    </row>
    <row r="6" spans="1:22" x14ac:dyDescent="0.15">
      <c r="A6" s="6" t="s">
        <v>5</v>
      </c>
      <c r="B6" s="6" t="str">
        <f>复制!A4</f>
        <v>april6th</v>
      </c>
      <c r="C6" s="6" t="s">
        <v>7</v>
      </c>
      <c r="D6" s="6" t="str">
        <f>复制!B4</f>
        <v>《棠梨煎雪》 ｜无关爱情好声音</v>
      </c>
      <c r="E6" s="6" t="s">
        <v>8</v>
      </c>
      <c r="F6" s="6" t="str">
        <f>复制!C4</f>
        <v>/cn/@april6th/4rcuhp-or</v>
      </c>
      <c r="G6" s="6" t="s">
        <v>9</v>
      </c>
      <c r="H6" s="6">
        <f>复制!D4</f>
        <v>0.23300000000000001</v>
      </c>
      <c r="I6" s="6" t="s">
        <v>6</v>
      </c>
      <c r="J6" s="6">
        <f>复制!E4</f>
        <v>7</v>
      </c>
      <c r="K6" s="6" t="s">
        <v>6</v>
      </c>
      <c r="L6" s="6">
        <f>复制!F4</f>
        <v>4</v>
      </c>
      <c r="M6" s="6" t="s">
        <v>6</v>
      </c>
      <c r="N6" s="6">
        <f>复制!G4</f>
        <v>7</v>
      </c>
      <c r="O6" s="6" t="s">
        <v>6</v>
      </c>
      <c r="P6" s="18">
        <f t="shared" si="0"/>
        <v>1.5714285714285714</v>
      </c>
      <c r="Q6" s="8" t="s">
        <v>6</v>
      </c>
      <c r="S6" s="11">
        <f ca="1">IF($B6&lt;&gt;0,复制!H4,NOW())</f>
        <v>43191.998159722221</v>
      </c>
      <c r="T6" s="11">
        <f ca="1">IF($B6&lt;&gt;0,复制!I4,NOW())</f>
        <v>43143.751354166663</v>
      </c>
      <c r="U6" s="11">
        <f ca="1">IF($B6&lt;&gt;0,复制!J4,NOW())</f>
        <v>43197</v>
      </c>
      <c r="V6" s="6">
        <f t="shared" ca="1" si="1"/>
        <v>1</v>
      </c>
    </row>
    <row r="7" spans="1:22" x14ac:dyDescent="0.15">
      <c r="A7" s="6" t="s">
        <v>5</v>
      </c>
      <c r="B7" s="6" t="str">
        <f>复制!A5</f>
        <v>crowflew</v>
      </c>
      <c r="C7" s="6" t="s">
        <v>7</v>
      </c>
      <c r="D7" s="6" t="str">
        <f>复制!B5</f>
        <v>致解冻的风｜无关爱情好声音#16</v>
      </c>
      <c r="E7" s="6" t="s">
        <v>8</v>
      </c>
      <c r="F7" s="6" t="str">
        <f>复制!C5</f>
        <v>/cn/@crowflew/or-16</v>
      </c>
      <c r="G7" s="6" t="s">
        <v>9</v>
      </c>
      <c r="H7" s="6">
        <f>复制!D5</f>
        <v>0.20499999999999999</v>
      </c>
      <c r="I7" s="6" t="s">
        <v>6</v>
      </c>
      <c r="J7" s="6">
        <f>复制!E5</f>
        <v>10</v>
      </c>
      <c r="K7" s="6" t="s">
        <v>6</v>
      </c>
      <c r="L7" s="6">
        <f>复制!F5</f>
        <v>14</v>
      </c>
      <c r="M7" s="6" t="s">
        <v>6</v>
      </c>
      <c r="N7" s="6">
        <f>复制!G5</f>
        <v>18</v>
      </c>
      <c r="O7" s="6" t="s">
        <v>6</v>
      </c>
      <c r="P7" s="18">
        <f t="shared" si="0"/>
        <v>1.3333333333333333</v>
      </c>
      <c r="Q7" s="8" t="s">
        <v>6</v>
      </c>
      <c r="S7" s="11">
        <f ca="1">IF($B7&lt;&gt;0,复制!H5,NOW())</f>
        <v>43192.500937500001</v>
      </c>
      <c r="T7" s="11">
        <f ca="1">IF($B7&lt;&gt;0,复制!I5,NOW())</f>
        <v>43142.438402777778</v>
      </c>
      <c r="U7" s="11">
        <f ca="1">IF($B7&lt;&gt;0,复制!J5,NOW())</f>
        <v>43197</v>
      </c>
      <c r="V7" s="6">
        <f t="shared" ca="1" si="1"/>
        <v>1</v>
      </c>
    </row>
    <row r="8" spans="1:22" x14ac:dyDescent="0.15">
      <c r="A8" s="6" t="s">
        <v>5</v>
      </c>
      <c r="B8" s="6" t="str">
        <f>复制!A6</f>
        <v>davidke20</v>
      </c>
      <c r="C8" s="6" t="s">
        <v>7</v>
      </c>
      <c r="D8" s="6" t="str">
        <f>复制!B6</f>
        <v>没事业成就，更无关爱情好声音 ｜ 廿几岁时的《阿博》 - 三个一</v>
      </c>
      <c r="E8" s="6" t="s">
        <v>8</v>
      </c>
      <c r="F8" s="6" t="str">
        <f>复制!C6</f>
        <v>/cn/@davidke20/7er2qk-or</v>
      </c>
      <c r="G8" s="6" t="s">
        <v>9</v>
      </c>
      <c r="H8" s="6">
        <f>复制!D6</f>
        <v>2.056</v>
      </c>
      <c r="I8" s="6" t="s">
        <v>6</v>
      </c>
      <c r="J8" s="6">
        <f>复制!E6</f>
        <v>11</v>
      </c>
      <c r="K8" s="6" t="s">
        <v>6</v>
      </c>
      <c r="L8" s="6">
        <f>复制!F6</f>
        <v>82</v>
      </c>
      <c r="M8" s="6" t="s">
        <v>6</v>
      </c>
      <c r="N8" s="6">
        <f>复制!G6</f>
        <v>124</v>
      </c>
      <c r="O8" s="6" t="s">
        <v>6</v>
      </c>
      <c r="P8" s="18">
        <f t="shared" si="0"/>
        <v>0.75</v>
      </c>
      <c r="Q8" s="8" t="s">
        <v>6</v>
      </c>
      <c r="S8" s="11">
        <f ca="1">IF($B8&lt;&gt;0,复制!H6,NOW())</f>
        <v>43192.580694444441</v>
      </c>
      <c r="T8" s="11">
        <f ca="1">IF($B8&lt;&gt;0,复制!I6,NOW())</f>
        <v>42963.379930555559</v>
      </c>
      <c r="U8" s="11">
        <f ca="1">IF($B8&lt;&gt;0,复制!J6,NOW())</f>
        <v>43197</v>
      </c>
      <c r="V8" s="6">
        <f t="shared" ca="1" si="1"/>
        <v>0</v>
      </c>
    </row>
    <row r="9" spans="1:22" x14ac:dyDescent="0.15">
      <c r="A9" s="6" t="s">
        <v>5</v>
      </c>
      <c r="B9" s="6" t="str">
        <f>复制!A7</f>
        <v>winniex</v>
      </c>
      <c r="C9" s="6" t="s">
        <v>7</v>
      </c>
      <c r="D9" s="6" t="str">
        <f>复制!B7</f>
        <v>通俗地唱：《我和我的祖国》 ｜ 华语好声音·无关爱情好声音</v>
      </c>
      <c r="E9" s="6" t="s">
        <v>8</v>
      </c>
      <c r="F9" s="6" t="str">
        <f>复制!C7</f>
        <v>/cn/@winniex/4dhcxk</v>
      </c>
      <c r="G9" s="6" t="s">
        <v>9</v>
      </c>
      <c r="H9" s="6">
        <f>复制!D7</f>
        <v>3.5510000000000002</v>
      </c>
      <c r="I9" s="6" t="s">
        <v>6</v>
      </c>
      <c r="J9" s="6">
        <f>复制!E7</f>
        <v>10</v>
      </c>
      <c r="K9" s="6" t="s">
        <v>6</v>
      </c>
      <c r="L9" s="6">
        <f>复制!F7</f>
        <v>16</v>
      </c>
      <c r="M9" s="6" t="s">
        <v>6</v>
      </c>
      <c r="N9" s="6">
        <f>复制!G7</f>
        <v>84</v>
      </c>
      <c r="O9" s="6" t="s">
        <v>6</v>
      </c>
      <c r="P9" s="18">
        <f t="shared" si="0"/>
        <v>0.30952380952380953</v>
      </c>
      <c r="Q9" s="8" t="s">
        <v>6</v>
      </c>
      <c r="S9" s="11">
        <f ca="1">IF($B9&lt;&gt;0,复制!H7,NOW())</f>
        <v>43192.738125000003</v>
      </c>
      <c r="T9" s="11">
        <f ca="1">IF($B9&lt;&gt;0,复制!I7,NOW())</f>
        <v>42998.54215277778</v>
      </c>
      <c r="U9" s="11">
        <f ca="1">IF($B9&lt;&gt;0,复制!J7,NOW())</f>
        <v>43197</v>
      </c>
      <c r="V9" s="6">
        <f t="shared" ca="1" si="1"/>
        <v>0</v>
      </c>
    </row>
    <row r="10" spans="1:22" x14ac:dyDescent="0.15">
      <c r="A10" s="6" t="s">
        <v>5</v>
      </c>
      <c r="B10" s="6" t="str">
        <f>复制!A8</f>
        <v>windowglass</v>
      </c>
      <c r="C10" s="6" t="s">
        <v>7</v>
      </c>
      <c r="D10" s="6" t="str">
        <f>复制!B8</f>
        <v>【合唱邀请】哪里的天空不下雨｜无关爱情好声音</v>
      </c>
      <c r="E10" s="6" t="s">
        <v>8</v>
      </c>
      <c r="F10" s="6" t="str">
        <f>复制!C8</f>
        <v>/cn/@windowglass/yzpfr</v>
      </c>
      <c r="G10" s="6" t="s">
        <v>9</v>
      </c>
      <c r="H10" s="6">
        <f>复制!D8</f>
        <v>0.71099999999999997</v>
      </c>
      <c r="I10" s="6" t="s">
        <v>6</v>
      </c>
      <c r="J10" s="6">
        <f>复制!E8</f>
        <v>9</v>
      </c>
      <c r="K10" s="6" t="s">
        <v>6</v>
      </c>
      <c r="L10" s="6">
        <f>复制!F8</f>
        <v>10</v>
      </c>
      <c r="M10" s="6" t="s">
        <v>6</v>
      </c>
      <c r="N10" s="6">
        <f>复制!G8</f>
        <v>18</v>
      </c>
      <c r="O10" s="6" t="s">
        <v>6</v>
      </c>
      <c r="P10" s="18">
        <f t="shared" si="0"/>
        <v>1.0555555555555556</v>
      </c>
      <c r="Q10" s="8" t="s">
        <v>6</v>
      </c>
      <c r="S10" s="11">
        <f ca="1">IF($B10&lt;&gt;0,复制!H8,NOW())</f>
        <v>43192.999930555554</v>
      </c>
      <c r="T10" s="11">
        <f ca="1">IF($B10&lt;&gt;0,复制!I8,NOW())</f>
        <v>43017.511145833334</v>
      </c>
      <c r="U10" s="11">
        <f ca="1">IF($B10&lt;&gt;0,复制!J8,NOW())</f>
        <v>43197</v>
      </c>
      <c r="V10" s="6">
        <f t="shared" ca="1" si="1"/>
        <v>0</v>
      </c>
    </row>
    <row r="11" spans="1:22" x14ac:dyDescent="0.15">
      <c r="A11" s="6" t="s">
        <v>5</v>
      </c>
      <c r="B11" s="6" t="str">
        <f>复制!A9</f>
        <v>jaffer</v>
      </c>
      <c r="C11" s="6" t="s">
        <v>7</v>
      </c>
      <c r="D11" s="6" t="str">
        <f>复制!B9</f>
        <v>一声朋友一生情｜无关爱情好声音｜Music Challenge F</v>
      </c>
      <c r="E11" s="6" t="s">
        <v>8</v>
      </c>
      <c r="F11" s="6" t="str">
        <f>复制!C9</f>
        <v>/cn/@jaffer/weghf-or</v>
      </c>
      <c r="G11" s="6" t="s">
        <v>9</v>
      </c>
      <c r="H11" s="6">
        <f>复制!D9</f>
        <v>0.2</v>
      </c>
      <c r="I11" s="6" t="s">
        <v>6</v>
      </c>
      <c r="J11" s="6">
        <f>复制!E9</f>
        <v>7</v>
      </c>
      <c r="K11" s="6" t="s">
        <v>6</v>
      </c>
      <c r="L11" s="6">
        <f>复制!F9</f>
        <v>4</v>
      </c>
      <c r="M11" s="6" t="s">
        <v>6</v>
      </c>
      <c r="N11" s="6">
        <f>复制!G9</f>
        <v>11</v>
      </c>
      <c r="O11" s="6" t="s">
        <v>6</v>
      </c>
      <c r="P11" s="18">
        <f t="shared" si="0"/>
        <v>1</v>
      </c>
      <c r="Q11" s="8" t="s">
        <v>6</v>
      </c>
      <c r="S11" s="11">
        <f ca="1">IF($B11&lt;&gt;0,复制!H9,NOW())</f>
        <v>43193.949756944443</v>
      </c>
      <c r="T11" s="11">
        <f ca="1">IF($B11&lt;&gt;0,复制!I9,NOW())</f>
        <v>43172.783472222225</v>
      </c>
      <c r="U11" s="11">
        <f ca="1">IF($B11&lt;&gt;0,复制!J9,NOW())</f>
        <v>43197</v>
      </c>
      <c r="V11" s="6">
        <f t="shared" ca="1" si="1"/>
        <v>1</v>
      </c>
    </row>
    <row r="12" spans="1:22" x14ac:dyDescent="0.15">
      <c r="A12" s="6" t="s">
        <v>5</v>
      </c>
      <c r="B12" s="6" t="str">
        <f>复制!A10</f>
        <v>dapeng</v>
      </c>
      <c r="C12" s="6" t="s">
        <v>7</v>
      </c>
      <c r="D12" s="6" t="str">
        <f>复制!B10</f>
        <v>征对唱：吉祥三宝 ｜ 无关爱情好声音</v>
      </c>
      <c r="E12" s="6" t="s">
        <v>8</v>
      </c>
      <c r="F12" s="6" t="str">
        <f>复制!C10</f>
        <v>/cn/@dapeng/jixiangsanbao</v>
      </c>
      <c r="G12" s="6" t="s">
        <v>9</v>
      </c>
      <c r="H12" s="6">
        <f>复制!D10</f>
        <v>5.0469999999999997</v>
      </c>
      <c r="I12" s="6" t="s">
        <v>6</v>
      </c>
      <c r="J12" s="6">
        <f>复制!E10</f>
        <v>8</v>
      </c>
      <c r="K12" s="6" t="s">
        <v>6</v>
      </c>
      <c r="L12" s="6">
        <f>复制!F10</f>
        <v>18</v>
      </c>
      <c r="M12" s="6" t="s">
        <v>6</v>
      </c>
      <c r="N12" s="6">
        <f>复制!G10</f>
        <v>35</v>
      </c>
      <c r="O12" s="6" t="s">
        <v>6</v>
      </c>
      <c r="P12" s="18">
        <f t="shared" si="0"/>
        <v>0.74285714285714288</v>
      </c>
      <c r="Q12" s="8" t="s">
        <v>6</v>
      </c>
      <c r="S12" s="11">
        <f ca="1">IF($B12&lt;&gt;0,复制!H10,NOW())</f>
        <v>43194.257361111115</v>
      </c>
      <c r="T12" s="11">
        <f ca="1">IF($B12&lt;&gt;0,复制!I10,NOW())</f>
        <v>42657.79420138889</v>
      </c>
      <c r="U12" s="11">
        <f ca="1">IF($B12&lt;&gt;0,复制!J10,NOW())</f>
        <v>43197</v>
      </c>
      <c r="V12" s="6">
        <f t="shared" ca="1" si="1"/>
        <v>0</v>
      </c>
    </row>
    <row r="13" spans="1:22" x14ac:dyDescent="0.15">
      <c r="A13" s="6" t="s">
        <v>5</v>
      </c>
      <c r="B13" s="6" t="str">
        <f>复制!A11</f>
        <v>davidke20</v>
      </c>
      <c r="C13" s="6" t="s">
        <v>7</v>
      </c>
      <c r="D13" s="6" t="str">
        <f>复制!B11</f>
        <v>无关爱情好声音 Beyond 《爸爸妈妈》</v>
      </c>
      <c r="E13" s="6" t="s">
        <v>8</v>
      </c>
      <c r="F13" s="6" t="str">
        <f>复制!C11</f>
        <v>/cn/@davidke20/beyond</v>
      </c>
      <c r="G13" s="6" t="s">
        <v>9</v>
      </c>
      <c r="H13" s="6">
        <f>复制!D11</f>
        <v>3.2549999999999999</v>
      </c>
      <c r="I13" s="6" t="s">
        <v>6</v>
      </c>
      <c r="J13" s="6">
        <f>复制!E11</f>
        <v>9</v>
      </c>
      <c r="K13" s="6" t="s">
        <v>6</v>
      </c>
      <c r="L13" s="6">
        <f>复制!F11</f>
        <v>101</v>
      </c>
      <c r="M13" s="6" t="s">
        <v>6</v>
      </c>
      <c r="N13" s="6">
        <f>复制!G11</f>
        <v>132</v>
      </c>
      <c r="O13" s="6" t="s">
        <v>6</v>
      </c>
      <c r="P13" s="18">
        <f t="shared" si="0"/>
        <v>0.83333333333333337</v>
      </c>
      <c r="Q13" s="8" t="s">
        <v>6</v>
      </c>
      <c r="S13" s="11">
        <f ca="1">IF($B13&lt;&gt;0,复制!H11,NOW())</f>
        <v>43194.528020833335</v>
      </c>
      <c r="T13" s="11">
        <f ca="1">IF($B13&lt;&gt;0,复制!I11,NOW())</f>
        <v>42963.379930555559</v>
      </c>
      <c r="U13" s="11">
        <f ca="1">IF($B13&lt;&gt;0,复制!J11,NOW())</f>
        <v>43197</v>
      </c>
      <c r="V13" s="6">
        <f t="shared" ca="1" si="1"/>
        <v>0</v>
      </c>
    </row>
    <row r="14" spans="1:22" x14ac:dyDescent="0.15">
      <c r="A14" s="6" t="s">
        <v>5</v>
      </c>
      <c r="B14" s="6" t="str">
        <f>复制!A12</f>
        <v>towardsthesun</v>
      </c>
      <c r="C14" s="6" t="s">
        <v>7</v>
      </c>
      <c r="D14" s="6" t="str">
        <f>复制!B12</f>
        <v>留下故事｜无关爱情好声音</v>
      </c>
      <c r="E14" s="6" t="s">
        <v>8</v>
      </c>
      <c r="F14" s="6" t="str">
        <f>复制!C12</f>
        <v>/cn/@towardsthesun/3de1fh-or</v>
      </c>
      <c r="G14" s="6" t="s">
        <v>9</v>
      </c>
      <c r="H14" s="6">
        <f>复制!D12</f>
        <v>0.501</v>
      </c>
      <c r="I14" s="6" t="s">
        <v>6</v>
      </c>
      <c r="J14" s="6">
        <f>复制!E12</f>
        <v>7</v>
      </c>
      <c r="K14" s="6" t="s">
        <v>6</v>
      </c>
      <c r="L14" s="6">
        <f>复制!F12</f>
        <v>8</v>
      </c>
      <c r="M14" s="6" t="s">
        <v>6</v>
      </c>
      <c r="N14" s="6">
        <f>复制!G12</f>
        <v>40</v>
      </c>
      <c r="O14" s="6" t="s">
        <v>6</v>
      </c>
      <c r="P14" s="18">
        <f t="shared" si="0"/>
        <v>0.375</v>
      </c>
      <c r="Q14" s="8" t="s">
        <v>6</v>
      </c>
      <c r="S14" s="11">
        <f ca="1">IF($B14&lt;&gt;0,复制!H12,NOW())</f>
        <v>43194.537777777776</v>
      </c>
      <c r="T14" s="11">
        <f ca="1">IF($B14&lt;&gt;0,复制!I12,NOW())</f>
        <v>42924.990173611113</v>
      </c>
      <c r="U14" s="11">
        <f ca="1">IF($B14&lt;&gt;0,复制!J12,NOW())</f>
        <v>43197</v>
      </c>
      <c r="V14" s="6">
        <f t="shared" ca="1" si="1"/>
        <v>0</v>
      </c>
    </row>
    <row r="15" spans="1:22" x14ac:dyDescent="0.15">
      <c r="A15" s="6" t="s">
        <v>5</v>
      </c>
      <c r="B15" s="6" t="str">
        <f>复制!A13</f>
        <v>winniex</v>
      </c>
      <c r="C15" s="6" t="s">
        <v>7</v>
      </c>
      <c r="D15" s="6" t="str">
        <f>复制!B13</f>
        <v>《让我拥抱你入梦》｜ 华语好声音·无关爱情好声音-- Music Challenge B</v>
      </c>
      <c r="E15" s="6" t="s">
        <v>8</v>
      </c>
      <c r="F15" s="6" t="str">
        <f>复制!C13</f>
        <v>/cn/@winniex/or-music-challenge-b</v>
      </c>
      <c r="G15" s="6" t="s">
        <v>9</v>
      </c>
      <c r="H15" s="6">
        <f>复制!D13</f>
        <v>2.7930000000000001</v>
      </c>
      <c r="I15" s="6" t="s">
        <v>6</v>
      </c>
      <c r="J15" s="6">
        <f>复制!E13</f>
        <v>10</v>
      </c>
      <c r="K15" s="6" t="s">
        <v>6</v>
      </c>
      <c r="L15" s="6">
        <f>复制!F13</f>
        <v>28</v>
      </c>
      <c r="M15" s="6" t="s">
        <v>6</v>
      </c>
      <c r="N15" s="6">
        <f>复制!G13</f>
        <v>91</v>
      </c>
      <c r="O15" s="6" t="s">
        <v>6</v>
      </c>
      <c r="P15" s="18">
        <f t="shared" si="0"/>
        <v>0.4175824175824176</v>
      </c>
      <c r="Q15" s="8" t="s">
        <v>6</v>
      </c>
      <c r="S15" s="11">
        <f ca="1">IF($B15&lt;&gt;0,复制!H13,NOW())</f>
        <v>43194.571770833332</v>
      </c>
      <c r="T15" s="11">
        <f ca="1">IF($B15&lt;&gt;0,复制!I13,NOW())</f>
        <v>42998.54215277778</v>
      </c>
      <c r="U15" s="11">
        <f ca="1">IF($B15&lt;&gt;0,复制!J13,NOW())</f>
        <v>43197</v>
      </c>
      <c r="V15" s="6">
        <f t="shared" ca="1" si="1"/>
        <v>0</v>
      </c>
    </row>
    <row r="16" spans="1:22" x14ac:dyDescent="0.15">
      <c r="A16" s="6" t="s">
        <v>5</v>
      </c>
      <c r="B16" s="6" t="str">
        <f>复制!A14</f>
        <v>kokuryo</v>
      </c>
      <c r="C16" s="6" t="s">
        <v>7</v>
      </c>
      <c r="D16" s="6" t="str">
        <f>复制!B14</f>
        <v>《陀飞轮》｜ 华语好声音·无关爱情好声音</v>
      </c>
      <c r="E16" s="6" t="s">
        <v>8</v>
      </c>
      <c r="F16" s="6" t="str">
        <f>复制!C14</f>
        <v>/cn/@kokuryo/or</v>
      </c>
      <c r="G16" s="6" t="s">
        <v>9</v>
      </c>
      <c r="H16" s="6">
        <f>复制!D14</f>
        <v>1.974</v>
      </c>
      <c r="I16" s="6" t="s">
        <v>6</v>
      </c>
      <c r="J16" s="6">
        <f>复制!E14</f>
        <v>2</v>
      </c>
      <c r="K16" s="6" t="s">
        <v>6</v>
      </c>
      <c r="L16" s="6">
        <f>复制!F14</f>
        <v>75</v>
      </c>
      <c r="M16" s="6" t="s">
        <v>6</v>
      </c>
      <c r="N16" s="6">
        <f>复制!G14</f>
        <v>78</v>
      </c>
      <c r="O16" s="6" t="s">
        <v>6</v>
      </c>
      <c r="P16" s="18">
        <f t="shared" si="0"/>
        <v>0.98717948717948723</v>
      </c>
      <c r="Q16" s="8" t="s">
        <v>6</v>
      </c>
      <c r="S16" s="11">
        <f ca="1">IF($B16&lt;&gt;0,复制!H14,NOW())</f>
        <v>43194.817187499997</v>
      </c>
      <c r="T16" s="11">
        <f ca="1">IF($B16&lt;&gt;0,复制!I14,NOW())</f>
        <v>43077.329340277778</v>
      </c>
      <c r="U16" s="11">
        <f ca="1">IF($B16&lt;&gt;0,复制!J14,NOW())</f>
        <v>43197</v>
      </c>
      <c r="V16" s="6">
        <f t="shared" ca="1" si="1"/>
        <v>0</v>
      </c>
    </row>
    <row r="17" spans="1:22" x14ac:dyDescent="0.15">
      <c r="A17" s="6" t="s">
        <v>5</v>
      </c>
      <c r="B17" s="6" t="str">
        <f>复制!A15</f>
        <v>windowglass</v>
      </c>
      <c r="C17" s="6" t="s">
        <v>7</v>
      </c>
      <c r="D17" s="6" t="str">
        <f>复制!B15</f>
        <v>天涯孤客｜无关爱情好声音</v>
      </c>
      <c r="E17" s="6" t="s">
        <v>8</v>
      </c>
      <c r="F17" s="6" t="str">
        <f>复制!C15</f>
        <v>/cn/@windowglass/4qiumd</v>
      </c>
      <c r="G17" s="6" t="s">
        <v>9</v>
      </c>
      <c r="H17" s="6">
        <f>复制!D15</f>
        <v>0.95099999999999996</v>
      </c>
      <c r="I17" s="6" t="s">
        <v>6</v>
      </c>
      <c r="J17" s="6">
        <f>复制!E15</f>
        <v>8</v>
      </c>
      <c r="K17" s="6" t="s">
        <v>6</v>
      </c>
      <c r="L17" s="6">
        <f>复制!F15</f>
        <v>10</v>
      </c>
      <c r="M17" s="6" t="s">
        <v>6</v>
      </c>
      <c r="N17" s="6">
        <f>复制!G15</f>
        <v>15</v>
      </c>
      <c r="O17" s="6" t="s">
        <v>6</v>
      </c>
      <c r="P17" s="18">
        <f t="shared" si="0"/>
        <v>1.2</v>
      </c>
      <c r="Q17" s="8" t="s">
        <v>6</v>
      </c>
      <c r="S17" s="11">
        <f ca="1">IF($B17&lt;&gt;0,复制!H15,NOW())</f>
        <v>43194.986805555556</v>
      </c>
      <c r="T17" s="11">
        <f ca="1">IF($B17&lt;&gt;0,复制!I15,NOW())</f>
        <v>43017.511145833334</v>
      </c>
      <c r="U17" s="11">
        <f ca="1">IF($B17&lt;&gt;0,复制!J15,NOW())</f>
        <v>43197</v>
      </c>
      <c r="V17" s="6">
        <f t="shared" ca="1" si="1"/>
        <v>0</v>
      </c>
    </row>
    <row r="18" spans="1:22" x14ac:dyDescent="0.15">
      <c r="A18" s="6" t="s">
        <v>5</v>
      </c>
      <c r="B18" s="6" t="str">
        <f>复制!A16</f>
        <v>janicechua</v>
      </c>
      <c r="C18" s="6" t="s">
        <v>7</v>
      </c>
      <c r="D18" s="6" t="str">
        <f>复制!B16</f>
        <v>Music Challenge D 音乐挑战-七首喜爱歌曲之四《宝贝》无关爱情好声音</v>
      </c>
      <c r="E18" s="6" t="s">
        <v>8</v>
      </c>
      <c r="F18" s="6" t="str">
        <f>复制!C16</f>
        <v>/cn-malaysia/@janicechua/3ajtna</v>
      </c>
      <c r="G18" s="6" t="s">
        <v>9</v>
      </c>
      <c r="H18" s="6">
        <f>复制!D16</f>
        <v>1.579</v>
      </c>
      <c r="I18" s="6" t="s">
        <v>6</v>
      </c>
      <c r="J18" s="6">
        <f>复制!E16</f>
        <v>5</v>
      </c>
      <c r="K18" s="6" t="s">
        <v>6</v>
      </c>
      <c r="L18" s="6">
        <f>复制!F16</f>
        <v>65</v>
      </c>
      <c r="M18" s="6" t="s">
        <v>6</v>
      </c>
      <c r="N18" s="6">
        <f>复制!G16</f>
        <v>68</v>
      </c>
      <c r="O18" s="6" t="s">
        <v>6</v>
      </c>
      <c r="P18" s="18">
        <f t="shared" si="0"/>
        <v>1.0294117647058822</v>
      </c>
      <c r="Q18" s="8" t="s">
        <v>6</v>
      </c>
      <c r="S18" s="11">
        <f ca="1">IF($B18&lt;&gt;0,复制!H16,NOW())</f>
        <v>43195.530729166669</v>
      </c>
      <c r="T18" s="11">
        <f ca="1">IF($B18&lt;&gt;0,复制!I16,NOW())</f>
        <v>43137.694687499999</v>
      </c>
      <c r="U18" s="11">
        <f ca="1">IF($B18&lt;&gt;0,复制!J16,NOW())</f>
        <v>43197</v>
      </c>
      <c r="V18" s="6">
        <f t="shared" ca="1" si="1"/>
        <v>1</v>
      </c>
    </row>
    <row r="19" spans="1:22" x14ac:dyDescent="0.15">
      <c r="A19" s="6" t="s">
        <v>5</v>
      </c>
      <c r="B19" s="6" t="str">
        <f>复制!A17</f>
        <v>davidke20</v>
      </c>
      <c r="C19" s="6" t="s">
        <v>7</v>
      </c>
      <c r="D19" s="6" t="str">
        <f>复制!B17</f>
        <v>无关爱情好声音 《私心》-异种乐队 ∣ 三个一 “年少时”</v>
      </c>
      <c r="E19" s="6" t="s">
        <v>8</v>
      </c>
      <c r="F19" s="6" t="str">
        <f>复制!C17</f>
        <v>/cn/@davidke20/7rcud7</v>
      </c>
      <c r="G19" s="6" t="s">
        <v>9</v>
      </c>
      <c r="H19" s="6">
        <f>复制!D17</f>
        <v>2.5070000000000001</v>
      </c>
      <c r="I19" s="6" t="s">
        <v>6</v>
      </c>
      <c r="J19" s="6">
        <f>复制!E17</f>
        <v>12</v>
      </c>
      <c r="K19" s="6" t="s">
        <v>6</v>
      </c>
      <c r="L19" s="6">
        <f>复制!F17</f>
        <v>57</v>
      </c>
      <c r="M19" s="6" t="s">
        <v>6</v>
      </c>
      <c r="N19" s="6">
        <f>复制!G17</f>
        <v>75</v>
      </c>
      <c r="O19" s="6" t="s">
        <v>6</v>
      </c>
      <c r="P19" s="18">
        <f t="shared" si="0"/>
        <v>0.92</v>
      </c>
      <c r="Q19" s="8" t="s">
        <v>6</v>
      </c>
      <c r="S19" s="11">
        <f ca="1">IF($B19&lt;&gt;0,复制!H17,NOW())</f>
        <v>43195.551145833335</v>
      </c>
      <c r="T19" s="11">
        <f ca="1">IF($B19&lt;&gt;0,复制!I17,NOW())</f>
        <v>42963.379930555559</v>
      </c>
      <c r="U19" s="11">
        <f ca="1">IF($B19&lt;&gt;0,复制!J17,NOW())</f>
        <v>43197</v>
      </c>
      <c r="V19" s="6">
        <f t="shared" ca="1" si="1"/>
        <v>0</v>
      </c>
    </row>
    <row r="20" spans="1:22" x14ac:dyDescent="0.15">
      <c r="A20" s="6" t="s">
        <v>5</v>
      </c>
      <c r="B20" s="6" t="str">
        <f>复制!A18</f>
        <v>crowflew</v>
      </c>
      <c r="C20" s="6" t="s">
        <v>7</v>
      </c>
      <c r="D20" s="6" t="str">
        <f>复制!B18</f>
        <v>说话时间｜无关爱情好声音#16｜三个一</v>
      </c>
      <c r="E20" s="6" t="s">
        <v>8</v>
      </c>
      <c r="F20" s="6" t="str">
        <f>复制!C18</f>
        <v>/cn/@crowflew/or-16-or</v>
      </c>
      <c r="G20" s="6" t="s">
        <v>9</v>
      </c>
      <c r="H20" s="6">
        <f>复制!D18</f>
        <v>9.4E-2</v>
      </c>
      <c r="I20" s="6" t="s">
        <v>6</v>
      </c>
      <c r="J20" s="6">
        <f>复制!E18</f>
        <v>6</v>
      </c>
      <c r="K20" s="6" t="s">
        <v>6</v>
      </c>
      <c r="L20" s="6">
        <f>复制!F18</f>
        <v>10</v>
      </c>
      <c r="M20" s="6" t="s">
        <v>6</v>
      </c>
      <c r="N20" s="6">
        <f>复制!G18</f>
        <v>14</v>
      </c>
      <c r="O20" s="6" t="s">
        <v>6</v>
      </c>
      <c r="P20" s="18">
        <f t="shared" si="0"/>
        <v>1.1428571428571428</v>
      </c>
      <c r="Q20" s="8" t="s">
        <v>6</v>
      </c>
      <c r="S20" s="11">
        <f ca="1">IF($B20&lt;&gt;0,复制!H18,NOW())</f>
        <v>43195.895173611112</v>
      </c>
      <c r="T20" s="11">
        <f ca="1">IF($B20&lt;&gt;0,复制!I18,NOW())</f>
        <v>43142.438402777778</v>
      </c>
      <c r="U20" s="11">
        <f ca="1">IF($B20&lt;&gt;0,复制!J18,NOW())</f>
        <v>43197</v>
      </c>
      <c r="V20" s="6">
        <f t="shared" ca="1" si="1"/>
        <v>1</v>
      </c>
    </row>
    <row r="21" spans="1:22" x14ac:dyDescent="0.15">
      <c r="A21" s="6" t="s">
        <v>5</v>
      </c>
      <c r="B21" s="6" t="str">
        <f>复制!A19</f>
        <v>april6th</v>
      </c>
      <c r="C21" s="6" t="s">
        <v>7</v>
      </c>
      <c r="D21" s="6" t="str">
        <f>复制!B19</f>
        <v>应征对唱：吉祥三宝｜和dapeng男神一起唱的 ｜ 无关爱情好声音</v>
      </c>
      <c r="E21" s="6" t="s">
        <v>8</v>
      </c>
      <c r="F21" s="6" t="str">
        <f>复制!C19</f>
        <v>/cn/@april6th/or-dapeng-or</v>
      </c>
      <c r="G21" s="6" t="s">
        <v>9</v>
      </c>
      <c r="H21" s="6">
        <f>复制!D19</f>
        <v>0.69099999999999995</v>
      </c>
      <c r="I21" s="6" t="s">
        <v>6</v>
      </c>
      <c r="J21" s="6">
        <f>复制!E19</f>
        <v>2</v>
      </c>
      <c r="K21" s="6" t="s">
        <v>6</v>
      </c>
      <c r="L21" s="6">
        <f>复制!F19</f>
        <v>4</v>
      </c>
      <c r="M21" s="6" t="s">
        <v>6</v>
      </c>
      <c r="N21" s="6">
        <f>复制!G19</f>
        <v>7</v>
      </c>
      <c r="O21" s="6" t="s">
        <v>6</v>
      </c>
      <c r="P21" s="18">
        <f t="shared" si="0"/>
        <v>0.8571428571428571</v>
      </c>
      <c r="Q21" s="8" t="s">
        <v>6</v>
      </c>
      <c r="S21" s="11">
        <f ca="1">IF($B21&lt;&gt;0,复制!H19,NOW())</f>
        <v>43195.971562500003</v>
      </c>
      <c r="T21" s="11">
        <f ca="1">IF($B21&lt;&gt;0,复制!I19,NOW())</f>
        <v>43143.751354166663</v>
      </c>
      <c r="U21" s="11">
        <f ca="1">IF($B21&lt;&gt;0,复制!J19,NOW())</f>
        <v>43197</v>
      </c>
      <c r="V21" s="6">
        <f t="shared" ca="1" si="1"/>
        <v>1</v>
      </c>
    </row>
    <row r="22" spans="1:22" x14ac:dyDescent="0.15">
      <c r="A22" s="6" t="s">
        <v>5</v>
      </c>
      <c r="B22" s="6" t="str">
        <f>复制!A20</f>
        <v>windowglass</v>
      </c>
      <c r="C22" s="6" t="s">
        <v>7</v>
      </c>
      <c r="D22" s="6" t="str">
        <f>复制!B20</f>
        <v>【合唱邀请】祈祷｜无关爱情好声音</v>
      </c>
      <c r="E22" s="6" t="s">
        <v>8</v>
      </c>
      <c r="F22" s="6" t="str">
        <f>复制!C20</f>
        <v>/cn/@windowglass/auv4b</v>
      </c>
      <c r="G22" s="6" t="s">
        <v>9</v>
      </c>
      <c r="H22" s="6">
        <f>复制!D20</f>
        <v>0.96599999999999997</v>
      </c>
      <c r="I22" s="6" t="s">
        <v>6</v>
      </c>
      <c r="J22" s="6">
        <f>复制!E20</f>
        <v>4</v>
      </c>
      <c r="K22" s="6" t="s">
        <v>6</v>
      </c>
      <c r="L22" s="6">
        <f>复制!F20</f>
        <v>12</v>
      </c>
      <c r="M22" s="6" t="s">
        <v>6</v>
      </c>
      <c r="N22" s="6">
        <f>复制!G20</f>
        <v>19</v>
      </c>
      <c r="O22" s="6" t="s">
        <v>6</v>
      </c>
      <c r="P22" s="18">
        <f t="shared" si="0"/>
        <v>0.84210526315789469</v>
      </c>
      <c r="Q22" s="8" t="s">
        <v>6</v>
      </c>
      <c r="S22" s="11">
        <f ca="1">IF($B22&lt;&gt;0,复制!H20,NOW())</f>
        <v>43195.99145833333</v>
      </c>
      <c r="T22" s="11">
        <f ca="1">IF($B22&lt;&gt;0,复制!I20,NOW())</f>
        <v>43017.511145833334</v>
      </c>
      <c r="U22" s="11">
        <f ca="1">IF($B22&lt;&gt;0,复制!J20,NOW())</f>
        <v>43197</v>
      </c>
      <c r="V22" s="6">
        <f t="shared" ca="1" si="1"/>
        <v>0</v>
      </c>
    </row>
    <row r="23" spans="1:22" x14ac:dyDescent="0.15">
      <c r="A23" s="6" t="s">
        <v>5</v>
      </c>
      <c r="B23" s="6" t="str">
        <f>复制!A21</f>
        <v>pizzapai</v>
      </c>
      <c r="C23" s="6" t="s">
        <v>7</v>
      </c>
      <c r="D23" s="6" t="str">
        <f>复制!B21</f>
        <v>无关爱情好声音 ｜ 时间都去哪儿了</v>
      </c>
      <c r="E23" s="6" t="s">
        <v>8</v>
      </c>
      <c r="F23" s="6" t="str">
        <f>复制!C21</f>
        <v>/teammalaysia/@pizzapai/4dtnrw-or</v>
      </c>
      <c r="G23" s="6" t="s">
        <v>9</v>
      </c>
      <c r="H23" s="6">
        <f>复制!D21</f>
        <v>2.3690000000000002</v>
      </c>
      <c r="I23" s="6" t="s">
        <v>6</v>
      </c>
      <c r="J23" s="6">
        <f>复制!E21</f>
        <v>4</v>
      </c>
      <c r="K23" s="6" t="s">
        <v>6</v>
      </c>
      <c r="L23" s="6">
        <f>复制!F21</f>
        <v>1</v>
      </c>
      <c r="M23" s="6" t="s">
        <v>6</v>
      </c>
      <c r="N23" s="6">
        <f>复制!G21</f>
        <v>41</v>
      </c>
      <c r="O23" s="6" t="s">
        <v>6</v>
      </c>
      <c r="P23" s="18">
        <f t="shared" si="0"/>
        <v>0.12195121951219512</v>
      </c>
      <c r="Q23" s="8" t="s">
        <v>6</v>
      </c>
      <c r="S23" s="11">
        <f ca="1">IF($B23&lt;&gt;0,复制!H21,NOW())</f>
        <v>43196.92527777778</v>
      </c>
      <c r="T23" s="11">
        <f ca="1">IF($B23&lt;&gt;0,复制!I21,NOW())</f>
        <v>43110.880069444444</v>
      </c>
      <c r="U23" s="11">
        <f ca="1">IF($B23&lt;&gt;0,复制!J21,NOW())</f>
        <v>43197</v>
      </c>
      <c r="V23" s="6">
        <f t="shared" ca="1" si="1"/>
        <v>0</v>
      </c>
    </row>
    <row r="24" spans="1:22" x14ac:dyDescent="0.15">
      <c r="A24" s="6" t="s">
        <v>5</v>
      </c>
      <c r="B24" s="6">
        <f>复制!A22</f>
        <v>0</v>
      </c>
      <c r="C24" s="6" t="s">
        <v>7</v>
      </c>
      <c r="D24" s="6">
        <f>复制!B22</f>
        <v>0</v>
      </c>
      <c r="E24" s="6" t="s">
        <v>8</v>
      </c>
      <c r="F24" s="6">
        <f>复制!C22</f>
        <v>0</v>
      </c>
      <c r="G24" s="6" t="s">
        <v>9</v>
      </c>
      <c r="H24" s="6">
        <f>复制!D22</f>
        <v>0</v>
      </c>
      <c r="I24" s="6" t="s">
        <v>6</v>
      </c>
      <c r="J24" s="6">
        <f>复制!E22</f>
        <v>0</v>
      </c>
      <c r="K24" s="6" t="s">
        <v>6</v>
      </c>
      <c r="L24" s="6">
        <f>复制!F22</f>
        <v>0</v>
      </c>
      <c r="M24" s="6" t="s">
        <v>6</v>
      </c>
      <c r="N24" s="6">
        <f>复制!G22</f>
        <v>0</v>
      </c>
      <c r="O24" s="6" t="s">
        <v>6</v>
      </c>
      <c r="P24" s="18">
        <f t="shared" si="0"/>
        <v>0</v>
      </c>
      <c r="Q24" s="8" t="s">
        <v>6</v>
      </c>
      <c r="S24" s="11">
        <f ca="1">IF($B24&lt;&gt;0,复制!H22,NOW())</f>
        <v>43199.857517476848</v>
      </c>
      <c r="T24" s="11">
        <f ca="1">IF($B24&lt;&gt;0,复制!I22,NOW())</f>
        <v>43199.857517476848</v>
      </c>
      <c r="U24" s="11">
        <f ca="1">IF($B24&lt;&gt;0,复制!J22,NOW())</f>
        <v>43199.857517476848</v>
      </c>
      <c r="V24" s="6">
        <f t="shared" ca="1" si="1"/>
        <v>0</v>
      </c>
    </row>
    <row r="25" spans="1:22" x14ac:dyDescent="0.15">
      <c r="A25" s="6" t="s">
        <v>5</v>
      </c>
      <c r="B25" s="6">
        <f>复制!A23</f>
        <v>0</v>
      </c>
      <c r="C25" s="6" t="s">
        <v>7</v>
      </c>
      <c r="D25" s="6">
        <f>复制!B23</f>
        <v>0</v>
      </c>
      <c r="E25" s="6" t="s">
        <v>8</v>
      </c>
      <c r="F25" s="6">
        <f>复制!C23</f>
        <v>0</v>
      </c>
      <c r="G25" s="6" t="s">
        <v>9</v>
      </c>
      <c r="H25" s="6">
        <f>复制!D23</f>
        <v>0</v>
      </c>
      <c r="I25" s="6" t="s">
        <v>6</v>
      </c>
      <c r="J25" s="6">
        <f>复制!E23</f>
        <v>0</v>
      </c>
      <c r="K25" s="6" t="s">
        <v>6</v>
      </c>
      <c r="L25" s="6">
        <f>复制!F23</f>
        <v>0</v>
      </c>
      <c r="M25" s="6" t="s">
        <v>6</v>
      </c>
      <c r="N25" s="6">
        <f>复制!G23</f>
        <v>0</v>
      </c>
      <c r="O25" s="6" t="s">
        <v>6</v>
      </c>
      <c r="P25" s="18">
        <f t="shared" si="0"/>
        <v>0</v>
      </c>
      <c r="Q25" s="8" t="s">
        <v>6</v>
      </c>
      <c r="S25" s="11">
        <f ca="1">IF($B25&lt;&gt;0,复制!H23,NOW())</f>
        <v>43199.857517476848</v>
      </c>
      <c r="T25" s="11">
        <f ca="1">IF($B25&lt;&gt;0,复制!I23,NOW())</f>
        <v>43199.857517476848</v>
      </c>
      <c r="U25" s="11">
        <f ca="1">IF($B25&lt;&gt;0,复制!J23,NOW())</f>
        <v>43199.857517476848</v>
      </c>
      <c r="V25" s="6">
        <f t="shared" ca="1" si="1"/>
        <v>0</v>
      </c>
    </row>
    <row r="26" spans="1:22" x14ac:dyDescent="0.15">
      <c r="A26" s="6" t="s">
        <v>5</v>
      </c>
      <c r="B26" s="6">
        <f>复制!A24</f>
        <v>0</v>
      </c>
      <c r="C26" s="6" t="s">
        <v>7</v>
      </c>
      <c r="D26" s="6">
        <f>复制!B24</f>
        <v>0</v>
      </c>
      <c r="E26" s="6" t="s">
        <v>8</v>
      </c>
      <c r="F26" s="6">
        <f>复制!C24</f>
        <v>0</v>
      </c>
      <c r="G26" s="6" t="s">
        <v>9</v>
      </c>
      <c r="H26" s="6">
        <f>复制!D24</f>
        <v>0</v>
      </c>
      <c r="I26" s="6" t="s">
        <v>6</v>
      </c>
      <c r="J26" s="6">
        <f>复制!E24</f>
        <v>0</v>
      </c>
      <c r="K26" s="6" t="s">
        <v>6</v>
      </c>
      <c r="L26" s="6">
        <f>复制!F24</f>
        <v>0</v>
      </c>
      <c r="M26" s="6" t="s">
        <v>6</v>
      </c>
      <c r="N26" s="6">
        <f>复制!G24</f>
        <v>0</v>
      </c>
      <c r="O26" s="6" t="s">
        <v>6</v>
      </c>
      <c r="P26" s="18">
        <f t="shared" si="0"/>
        <v>0</v>
      </c>
      <c r="Q26" s="8" t="s">
        <v>6</v>
      </c>
      <c r="S26" s="11">
        <f ca="1">IF($B26&lt;&gt;0,复制!H24,NOW())</f>
        <v>43199.857517476848</v>
      </c>
      <c r="T26" s="11">
        <f ca="1">IF($B26&lt;&gt;0,复制!I24,NOW())</f>
        <v>43199.857517476848</v>
      </c>
      <c r="U26" s="11">
        <f ca="1">IF($B26&lt;&gt;0,复制!J24,NOW())</f>
        <v>43199.857517476848</v>
      </c>
      <c r="V26" s="6">
        <f t="shared" ca="1" si="1"/>
        <v>0</v>
      </c>
    </row>
    <row r="27" spans="1:22" x14ac:dyDescent="0.15">
      <c r="A27" s="6" t="s">
        <v>5</v>
      </c>
      <c r="B27" s="6">
        <f>复制!A25</f>
        <v>0</v>
      </c>
      <c r="C27" s="6" t="s">
        <v>7</v>
      </c>
      <c r="D27" s="6">
        <f>复制!B25</f>
        <v>0</v>
      </c>
      <c r="E27" s="6" t="s">
        <v>8</v>
      </c>
      <c r="F27" s="6">
        <f>复制!C25</f>
        <v>0</v>
      </c>
      <c r="G27" s="6" t="s">
        <v>9</v>
      </c>
      <c r="H27" s="6">
        <f>复制!D25</f>
        <v>0</v>
      </c>
      <c r="I27" s="6" t="s">
        <v>6</v>
      </c>
      <c r="J27" s="6">
        <f>复制!E25</f>
        <v>0</v>
      </c>
      <c r="K27" s="6" t="s">
        <v>6</v>
      </c>
      <c r="L27" s="6">
        <f>复制!F25</f>
        <v>0</v>
      </c>
      <c r="M27" s="6" t="s">
        <v>6</v>
      </c>
      <c r="N27" s="6">
        <f>复制!G25</f>
        <v>0</v>
      </c>
      <c r="O27" s="6" t="s">
        <v>6</v>
      </c>
      <c r="P27" s="18">
        <f t="shared" si="0"/>
        <v>0</v>
      </c>
      <c r="Q27" s="8" t="s">
        <v>6</v>
      </c>
      <c r="S27" s="11">
        <f ca="1">IF($B27&lt;&gt;0,复制!H25,NOW())</f>
        <v>43199.857517476848</v>
      </c>
      <c r="T27" s="11">
        <f ca="1">IF($B27&lt;&gt;0,复制!I25,NOW())</f>
        <v>43199.857517476848</v>
      </c>
      <c r="U27" s="11">
        <f ca="1">IF($B27&lt;&gt;0,复制!J25,NOW())</f>
        <v>43199.857517476848</v>
      </c>
      <c r="V27" s="6">
        <f t="shared" ca="1" si="1"/>
        <v>0</v>
      </c>
    </row>
    <row r="28" spans="1:22" x14ac:dyDescent="0.15">
      <c r="A28" s="6" t="s">
        <v>5</v>
      </c>
      <c r="B28" s="6">
        <f>复制!A26</f>
        <v>0</v>
      </c>
      <c r="C28" s="6" t="s">
        <v>7</v>
      </c>
      <c r="D28" s="6">
        <f>复制!B26</f>
        <v>0</v>
      </c>
      <c r="E28" s="6" t="s">
        <v>8</v>
      </c>
      <c r="F28" s="6">
        <f>复制!C26</f>
        <v>0</v>
      </c>
      <c r="G28" s="6" t="s">
        <v>9</v>
      </c>
      <c r="H28" s="6">
        <f>复制!D26</f>
        <v>0</v>
      </c>
      <c r="I28" s="6" t="s">
        <v>6</v>
      </c>
      <c r="J28" s="6">
        <f>复制!E26</f>
        <v>0</v>
      </c>
      <c r="K28" s="6" t="s">
        <v>6</v>
      </c>
      <c r="L28" s="6">
        <f>复制!F26</f>
        <v>0</v>
      </c>
      <c r="M28" s="6" t="s">
        <v>6</v>
      </c>
      <c r="N28" s="6">
        <f>复制!G26</f>
        <v>0</v>
      </c>
      <c r="O28" s="6" t="s">
        <v>6</v>
      </c>
      <c r="P28" s="18">
        <f t="shared" si="0"/>
        <v>0</v>
      </c>
      <c r="Q28" s="8" t="s">
        <v>6</v>
      </c>
      <c r="S28" s="11">
        <f ca="1">IF($B28&lt;&gt;0,复制!H26,NOW())</f>
        <v>43199.857517476848</v>
      </c>
      <c r="T28" s="11">
        <f ca="1">IF($B28&lt;&gt;0,复制!I26,NOW())</f>
        <v>43199.857517476848</v>
      </c>
      <c r="U28" s="11">
        <f ca="1">IF($B28&lt;&gt;0,复制!J26,NOW())</f>
        <v>43199.857517476848</v>
      </c>
      <c r="V28" s="6">
        <f t="shared" ca="1" si="1"/>
        <v>0</v>
      </c>
    </row>
    <row r="29" spans="1:22" x14ac:dyDescent="0.15">
      <c r="A29" s="6" t="s">
        <v>5</v>
      </c>
      <c r="B29" s="6">
        <f>复制!A27</f>
        <v>0</v>
      </c>
      <c r="C29" s="6" t="s">
        <v>7</v>
      </c>
      <c r="D29" s="6">
        <f>复制!B27</f>
        <v>0</v>
      </c>
      <c r="E29" s="6" t="s">
        <v>8</v>
      </c>
      <c r="F29" s="6">
        <f>复制!C27</f>
        <v>0</v>
      </c>
      <c r="G29" s="6" t="s">
        <v>9</v>
      </c>
      <c r="H29" s="6">
        <f>复制!D27</f>
        <v>0</v>
      </c>
      <c r="I29" s="6" t="s">
        <v>6</v>
      </c>
      <c r="J29" s="6">
        <f>复制!E27</f>
        <v>0</v>
      </c>
      <c r="K29" s="6" t="s">
        <v>6</v>
      </c>
      <c r="L29" s="6">
        <f>复制!F27</f>
        <v>0</v>
      </c>
      <c r="M29" s="6" t="s">
        <v>6</v>
      </c>
      <c r="N29" s="6">
        <f>复制!G27</f>
        <v>0</v>
      </c>
      <c r="O29" s="6" t="s">
        <v>6</v>
      </c>
      <c r="P29" s="18">
        <f t="shared" si="0"/>
        <v>0</v>
      </c>
      <c r="Q29" s="8" t="s">
        <v>6</v>
      </c>
      <c r="S29" s="11">
        <f ca="1">IF($B29&lt;&gt;0,复制!H27,NOW())</f>
        <v>43199.857517476848</v>
      </c>
      <c r="T29" s="11">
        <f ca="1">IF($B29&lt;&gt;0,复制!I27,NOW())</f>
        <v>43199.857517476848</v>
      </c>
      <c r="U29" s="11">
        <f ca="1">IF($B29&lt;&gt;0,复制!J27,NOW())</f>
        <v>43199.857517476848</v>
      </c>
      <c r="V29" s="6">
        <f t="shared" ca="1" si="1"/>
        <v>0</v>
      </c>
    </row>
    <row r="30" spans="1:22" x14ac:dyDescent="0.15">
      <c r="A30" s="6" t="s">
        <v>5</v>
      </c>
      <c r="B30" s="6">
        <f>复制!A28</f>
        <v>0</v>
      </c>
      <c r="C30" s="6" t="s">
        <v>7</v>
      </c>
      <c r="D30" s="6">
        <f>复制!B28</f>
        <v>0</v>
      </c>
      <c r="E30" s="6" t="s">
        <v>8</v>
      </c>
      <c r="F30" s="6">
        <f>复制!C28</f>
        <v>0</v>
      </c>
      <c r="G30" s="6" t="s">
        <v>9</v>
      </c>
      <c r="H30" s="6">
        <f>复制!D28</f>
        <v>0</v>
      </c>
      <c r="I30" s="6" t="s">
        <v>6</v>
      </c>
      <c r="J30" s="6">
        <f>复制!E28</f>
        <v>0</v>
      </c>
      <c r="K30" s="6" t="s">
        <v>6</v>
      </c>
      <c r="L30" s="6">
        <f>复制!F28</f>
        <v>0</v>
      </c>
      <c r="M30" s="6" t="s">
        <v>6</v>
      </c>
      <c r="N30" s="6">
        <f>复制!G28</f>
        <v>0</v>
      </c>
      <c r="O30" s="6" t="s">
        <v>6</v>
      </c>
      <c r="P30" s="18">
        <f t="shared" si="0"/>
        <v>0</v>
      </c>
      <c r="Q30" s="8" t="s">
        <v>6</v>
      </c>
      <c r="S30" s="11">
        <f ca="1">IF($B30&lt;&gt;0,复制!H28,NOW())</f>
        <v>43199.857517476848</v>
      </c>
      <c r="T30" s="11">
        <f ca="1">IF($B30&lt;&gt;0,复制!I28,NOW())</f>
        <v>43199.857517476848</v>
      </c>
      <c r="U30" s="11">
        <f ca="1">IF($B30&lt;&gt;0,复制!J28,NOW())</f>
        <v>43199.857517476848</v>
      </c>
      <c r="V30" s="6">
        <f t="shared" ca="1" si="1"/>
        <v>0</v>
      </c>
    </row>
    <row r="31" spans="1:22" x14ac:dyDescent="0.15">
      <c r="A31" s="6" t="s">
        <v>5</v>
      </c>
      <c r="B31" s="6">
        <f>复制!A29</f>
        <v>0</v>
      </c>
      <c r="C31" s="6" t="s">
        <v>7</v>
      </c>
      <c r="D31" s="6">
        <f>复制!B29</f>
        <v>0</v>
      </c>
      <c r="E31" s="6" t="s">
        <v>8</v>
      </c>
      <c r="F31" s="6">
        <f>复制!C29</f>
        <v>0</v>
      </c>
      <c r="G31" s="6" t="s">
        <v>9</v>
      </c>
      <c r="H31" s="6">
        <f>复制!D29</f>
        <v>0</v>
      </c>
      <c r="I31" s="6" t="s">
        <v>6</v>
      </c>
      <c r="J31" s="6">
        <f>复制!E29</f>
        <v>0</v>
      </c>
      <c r="K31" s="6" t="s">
        <v>6</v>
      </c>
      <c r="L31" s="6">
        <f>复制!F29</f>
        <v>0</v>
      </c>
      <c r="M31" s="6" t="s">
        <v>6</v>
      </c>
      <c r="N31" s="6">
        <f>复制!G29</f>
        <v>0</v>
      </c>
      <c r="O31" s="6" t="s">
        <v>6</v>
      </c>
      <c r="P31" s="18">
        <f t="shared" si="0"/>
        <v>0</v>
      </c>
      <c r="Q31" s="8" t="s">
        <v>6</v>
      </c>
      <c r="S31" s="11">
        <f ca="1">IF($B31&lt;&gt;0,复制!H29,NOW())</f>
        <v>43199.857517476848</v>
      </c>
      <c r="T31" s="11">
        <f ca="1">IF($B31&lt;&gt;0,复制!I29,NOW())</f>
        <v>43199.857517476848</v>
      </c>
      <c r="U31" s="11">
        <f ca="1">IF($B31&lt;&gt;0,复制!J29,NOW())</f>
        <v>43199.857517476848</v>
      </c>
      <c r="V31" s="6">
        <f t="shared" ca="1" si="1"/>
        <v>0</v>
      </c>
    </row>
    <row r="32" spans="1:22" x14ac:dyDescent="0.15">
      <c r="A32" s="6" t="s">
        <v>5</v>
      </c>
      <c r="B32" s="6">
        <f>复制!A30</f>
        <v>0</v>
      </c>
      <c r="C32" s="6" t="s">
        <v>7</v>
      </c>
      <c r="D32" s="6">
        <f>复制!B30</f>
        <v>0</v>
      </c>
      <c r="E32" s="6" t="s">
        <v>8</v>
      </c>
      <c r="F32" s="6">
        <f>复制!C30</f>
        <v>0</v>
      </c>
      <c r="G32" s="6" t="s">
        <v>9</v>
      </c>
      <c r="H32" s="6">
        <f>复制!D30</f>
        <v>0</v>
      </c>
      <c r="I32" s="6" t="s">
        <v>6</v>
      </c>
      <c r="J32" s="6">
        <f>复制!E30</f>
        <v>0</v>
      </c>
      <c r="K32" s="6" t="s">
        <v>6</v>
      </c>
      <c r="L32" s="6">
        <f>复制!F30</f>
        <v>0</v>
      </c>
      <c r="M32" s="6" t="s">
        <v>6</v>
      </c>
      <c r="N32" s="6">
        <f>复制!G30</f>
        <v>0</v>
      </c>
      <c r="O32" s="6" t="s">
        <v>6</v>
      </c>
      <c r="P32" s="18">
        <f t="shared" si="0"/>
        <v>0</v>
      </c>
      <c r="Q32" s="8" t="s">
        <v>6</v>
      </c>
      <c r="S32" s="11">
        <f ca="1">IF($B32&lt;&gt;0,复制!H30,NOW())</f>
        <v>43199.857517476848</v>
      </c>
      <c r="T32" s="11">
        <f ca="1">IF($B32&lt;&gt;0,复制!I30,NOW())</f>
        <v>43199.857517476848</v>
      </c>
      <c r="U32" s="11">
        <f ca="1">IF($B32&lt;&gt;0,复制!J30,NOW())</f>
        <v>43199.857517476848</v>
      </c>
      <c r="V32" s="6">
        <f t="shared" ca="1" si="1"/>
        <v>0</v>
      </c>
    </row>
    <row r="33" spans="1:22" x14ac:dyDescent="0.15">
      <c r="A33" s="6" t="s">
        <v>5</v>
      </c>
      <c r="B33" s="6">
        <f>复制!A31</f>
        <v>0</v>
      </c>
      <c r="C33" s="6" t="s">
        <v>7</v>
      </c>
      <c r="D33" s="6">
        <f>复制!B31</f>
        <v>0</v>
      </c>
      <c r="E33" s="6" t="s">
        <v>8</v>
      </c>
      <c r="F33" s="6">
        <f>复制!C31</f>
        <v>0</v>
      </c>
      <c r="G33" s="6" t="s">
        <v>9</v>
      </c>
      <c r="H33" s="6">
        <f>复制!D31</f>
        <v>0</v>
      </c>
      <c r="I33" s="6" t="s">
        <v>6</v>
      </c>
      <c r="J33" s="6">
        <f>复制!E31</f>
        <v>0</v>
      </c>
      <c r="K33" s="6" t="s">
        <v>6</v>
      </c>
      <c r="L33" s="6">
        <f>复制!F31</f>
        <v>0</v>
      </c>
      <c r="M33" s="6" t="s">
        <v>6</v>
      </c>
      <c r="N33" s="6">
        <f>复制!G31</f>
        <v>0</v>
      </c>
      <c r="O33" s="6" t="s">
        <v>6</v>
      </c>
      <c r="P33" s="18">
        <f t="shared" si="0"/>
        <v>0</v>
      </c>
      <c r="Q33" s="8" t="s">
        <v>6</v>
      </c>
      <c r="S33" s="11">
        <f ca="1">IF($B33&lt;&gt;0,复制!H31,NOW())</f>
        <v>43199.857517476848</v>
      </c>
      <c r="T33" s="11">
        <f ca="1">IF($B33&lt;&gt;0,复制!I31,NOW())</f>
        <v>43199.857517476848</v>
      </c>
      <c r="U33" s="11">
        <f ca="1">IF($B33&lt;&gt;0,复制!J31,NOW())</f>
        <v>43199.857517476848</v>
      </c>
      <c r="V33" s="6">
        <f t="shared" ca="1" si="1"/>
        <v>0</v>
      </c>
    </row>
    <row r="34" spans="1:22" x14ac:dyDescent="0.15">
      <c r="A34" s="6" t="s">
        <v>5</v>
      </c>
      <c r="B34" s="6">
        <f>复制!A32</f>
        <v>0</v>
      </c>
      <c r="C34" s="6" t="s">
        <v>7</v>
      </c>
      <c r="D34" s="6">
        <f>复制!B32</f>
        <v>0</v>
      </c>
      <c r="E34" s="6" t="s">
        <v>8</v>
      </c>
      <c r="F34" s="6">
        <f>复制!C32</f>
        <v>0</v>
      </c>
      <c r="G34" s="6" t="s">
        <v>9</v>
      </c>
      <c r="H34" s="6">
        <f>复制!D32</f>
        <v>0</v>
      </c>
      <c r="I34" s="6" t="s">
        <v>6</v>
      </c>
      <c r="J34" s="6">
        <f>复制!E32</f>
        <v>0</v>
      </c>
      <c r="K34" s="6" t="s">
        <v>6</v>
      </c>
      <c r="L34" s="6">
        <f>复制!F32</f>
        <v>0</v>
      </c>
      <c r="M34" s="6" t="s">
        <v>6</v>
      </c>
      <c r="N34" s="6">
        <f>复制!G32</f>
        <v>0</v>
      </c>
      <c r="O34" s="6" t="s">
        <v>6</v>
      </c>
      <c r="P34" s="18">
        <f t="shared" si="0"/>
        <v>0</v>
      </c>
      <c r="Q34" s="8" t="s">
        <v>6</v>
      </c>
      <c r="S34" s="11">
        <f ca="1">IF($B34&lt;&gt;0,复制!H32,NOW())</f>
        <v>43199.857517476848</v>
      </c>
      <c r="T34" s="11">
        <f ca="1">IF($B34&lt;&gt;0,复制!I32,NOW())</f>
        <v>43199.857517476848</v>
      </c>
      <c r="U34" s="11">
        <f ca="1">IF($B34&lt;&gt;0,复制!J32,NOW())</f>
        <v>43199.857517476848</v>
      </c>
      <c r="V34" s="6">
        <f t="shared" ca="1" si="1"/>
        <v>0</v>
      </c>
    </row>
    <row r="35" spans="1:22" x14ac:dyDescent="0.15">
      <c r="A35" s="6" t="s">
        <v>5</v>
      </c>
      <c r="B35" s="6">
        <f>复制!A33</f>
        <v>0</v>
      </c>
      <c r="C35" s="6" t="s">
        <v>7</v>
      </c>
      <c r="D35" s="6">
        <f>复制!B33</f>
        <v>0</v>
      </c>
      <c r="E35" s="6" t="s">
        <v>8</v>
      </c>
      <c r="F35" s="6">
        <f>复制!C33</f>
        <v>0</v>
      </c>
      <c r="G35" s="6" t="s">
        <v>9</v>
      </c>
      <c r="H35" s="6">
        <f>复制!D33</f>
        <v>0</v>
      </c>
      <c r="I35" s="6" t="s">
        <v>6</v>
      </c>
      <c r="J35" s="6">
        <f>复制!E33</f>
        <v>0</v>
      </c>
      <c r="K35" s="6" t="s">
        <v>6</v>
      </c>
      <c r="L35" s="6">
        <f>复制!F33</f>
        <v>0</v>
      </c>
      <c r="M35" s="6" t="s">
        <v>6</v>
      </c>
      <c r="N35" s="6">
        <f>复制!G33</f>
        <v>0</v>
      </c>
      <c r="O35" s="6" t="s">
        <v>6</v>
      </c>
      <c r="P35" s="18">
        <f t="shared" si="0"/>
        <v>0</v>
      </c>
      <c r="Q35" s="8" t="s">
        <v>6</v>
      </c>
      <c r="S35" s="11">
        <f ca="1">IF($B35&lt;&gt;0,复制!H33,NOW())</f>
        <v>43199.857517476848</v>
      </c>
      <c r="T35" s="11">
        <f ca="1">IF($B35&lt;&gt;0,复制!I33,NOW())</f>
        <v>43199.857517476848</v>
      </c>
      <c r="U35" s="11">
        <f ca="1">IF($B35&lt;&gt;0,复制!J33,NOW())</f>
        <v>43199.857517476848</v>
      </c>
      <c r="V35" s="6">
        <f t="shared" ca="1" si="1"/>
        <v>0</v>
      </c>
    </row>
    <row r="36" spans="1:22" x14ac:dyDescent="0.15">
      <c r="A36" s="6" t="s">
        <v>5</v>
      </c>
      <c r="B36" s="6">
        <f>复制!A34</f>
        <v>0</v>
      </c>
      <c r="C36" s="6" t="s">
        <v>7</v>
      </c>
      <c r="D36" s="6">
        <f>复制!B34</f>
        <v>0</v>
      </c>
      <c r="E36" s="6" t="s">
        <v>8</v>
      </c>
      <c r="F36" s="6">
        <f>复制!C34</f>
        <v>0</v>
      </c>
      <c r="G36" s="6" t="s">
        <v>9</v>
      </c>
      <c r="H36" s="6">
        <f>复制!D34</f>
        <v>0</v>
      </c>
      <c r="I36" s="6" t="s">
        <v>6</v>
      </c>
      <c r="J36" s="6">
        <f>复制!E34</f>
        <v>0</v>
      </c>
      <c r="K36" s="6" t="s">
        <v>6</v>
      </c>
      <c r="L36" s="6">
        <f>复制!F34</f>
        <v>0</v>
      </c>
      <c r="M36" s="6" t="s">
        <v>6</v>
      </c>
      <c r="N36" s="6">
        <f>复制!G34</f>
        <v>0</v>
      </c>
      <c r="O36" s="6" t="s">
        <v>6</v>
      </c>
      <c r="P36" s="18">
        <f t="shared" si="0"/>
        <v>0</v>
      </c>
      <c r="Q36" s="8" t="s">
        <v>6</v>
      </c>
      <c r="S36" s="11">
        <f ca="1">IF($B36&lt;&gt;0,复制!H34,NOW())</f>
        <v>43199.857517476848</v>
      </c>
      <c r="T36" s="11">
        <f ca="1">IF($B36&lt;&gt;0,复制!I34,NOW())</f>
        <v>43199.857517476848</v>
      </c>
      <c r="U36" s="11">
        <f ca="1">IF($B36&lt;&gt;0,复制!J34,NOW())</f>
        <v>43199.857517476848</v>
      </c>
      <c r="V36" s="6">
        <f t="shared" ca="1" si="1"/>
        <v>0</v>
      </c>
    </row>
    <row r="37" spans="1:22" x14ac:dyDescent="0.15">
      <c r="A37" s="6" t="s">
        <v>5</v>
      </c>
      <c r="B37" s="6">
        <f>复制!A35</f>
        <v>0</v>
      </c>
      <c r="C37" s="6" t="s">
        <v>7</v>
      </c>
      <c r="D37" s="6">
        <f>复制!B35</f>
        <v>0</v>
      </c>
      <c r="E37" s="6" t="s">
        <v>8</v>
      </c>
      <c r="F37" s="6">
        <f>复制!C35</f>
        <v>0</v>
      </c>
      <c r="G37" s="6" t="s">
        <v>9</v>
      </c>
      <c r="H37" s="6">
        <f>复制!D35</f>
        <v>0</v>
      </c>
      <c r="I37" s="6" t="s">
        <v>6</v>
      </c>
      <c r="J37" s="6">
        <f>复制!E35</f>
        <v>0</v>
      </c>
      <c r="K37" s="6" t="s">
        <v>6</v>
      </c>
      <c r="L37" s="6">
        <f>复制!F35</f>
        <v>0</v>
      </c>
      <c r="M37" s="6" t="s">
        <v>6</v>
      </c>
      <c r="N37" s="6">
        <f>复制!G35</f>
        <v>0</v>
      </c>
      <c r="O37" s="6" t="s">
        <v>6</v>
      </c>
      <c r="P37" s="18">
        <f t="shared" si="0"/>
        <v>0</v>
      </c>
      <c r="Q37" s="8" t="s">
        <v>6</v>
      </c>
      <c r="S37" s="11">
        <f ca="1">IF($B37&lt;&gt;0,复制!H35,NOW())</f>
        <v>43199.857517476848</v>
      </c>
      <c r="T37" s="11">
        <f ca="1">IF($B37&lt;&gt;0,复制!I35,NOW())</f>
        <v>43199.857517476848</v>
      </c>
      <c r="U37" s="11">
        <f ca="1">IF($B37&lt;&gt;0,复制!J35,NOW())</f>
        <v>43199.857517476848</v>
      </c>
      <c r="V37" s="6">
        <f t="shared" ca="1" si="1"/>
        <v>0</v>
      </c>
    </row>
    <row r="38" spans="1:22" x14ac:dyDescent="0.15">
      <c r="A38" s="6" t="s">
        <v>5</v>
      </c>
      <c r="B38" s="6">
        <f>复制!A36</f>
        <v>0</v>
      </c>
      <c r="C38" s="6" t="s">
        <v>7</v>
      </c>
      <c r="D38" s="6">
        <f>复制!B36</f>
        <v>0</v>
      </c>
      <c r="E38" s="6" t="s">
        <v>8</v>
      </c>
      <c r="F38" s="6">
        <f>复制!C36</f>
        <v>0</v>
      </c>
      <c r="G38" s="6" t="s">
        <v>9</v>
      </c>
      <c r="H38" s="6">
        <f>复制!D36</f>
        <v>0</v>
      </c>
      <c r="I38" s="6" t="s">
        <v>6</v>
      </c>
      <c r="J38" s="6">
        <f>复制!E36</f>
        <v>0</v>
      </c>
      <c r="K38" s="6" t="s">
        <v>6</v>
      </c>
      <c r="L38" s="6">
        <f>复制!F36</f>
        <v>0</v>
      </c>
      <c r="M38" s="6" t="s">
        <v>6</v>
      </c>
      <c r="N38" s="6">
        <f>复制!G36</f>
        <v>0</v>
      </c>
      <c r="O38" s="6" t="s">
        <v>6</v>
      </c>
      <c r="P38" s="18">
        <f t="shared" si="0"/>
        <v>0</v>
      </c>
      <c r="Q38" s="8" t="s">
        <v>6</v>
      </c>
      <c r="S38" s="11">
        <f ca="1">IF($B38&lt;&gt;0,复制!H36,NOW())</f>
        <v>43199.857517476848</v>
      </c>
      <c r="T38" s="11">
        <f ca="1">IF($B38&lt;&gt;0,复制!I36,NOW())</f>
        <v>43199.857517476848</v>
      </c>
      <c r="U38" s="11">
        <f ca="1">IF($B38&lt;&gt;0,复制!J36,NOW())</f>
        <v>43199.857517476848</v>
      </c>
      <c r="V38" s="6">
        <f t="shared" ca="1" si="1"/>
        <v>0</v>
      </c>
    </row>
    <row r="39" spans="1:22" x14ac:dyDescent="0.15">
      <c r="A39" s="6" t="s">
        <v>5</v>
      </c>
      <c r="B39" s="6">
        <f>复制!A37</f>
        <v>0</v>
      </c>
      <c r="C39" s="6" t="s">
        <v>7</v>
      </c>
      <c r="D39" s="6">
        <f>复制!B37</f>
        <v>0</v>
      </c>
      <c r="E39" s="6" t="s">
        <v>8</v>
      </c>
      <c r="F39" s="6">
        <f>复制!C37</f>
        <v>0</v>
      </c>
      <c r="G39" s="6" t="s">
        <v>9</v>
      </c>
      <c r="H39" s="6">
        <f>复制!D37</f>
        <v>0</v>
      </c>
      <c r="I39" s="6" t="s">
        <v>6</v>
      </c>
      <c r="J39" s="6">
        <f>复制!E37</f>
        <v>0</v>
      </c>
      <c r="K39" s="6" t="s">
        <v>6</v>
      </c>
      <c r="L39" s="6">
        <f>复制!F37</f>
        <v>0</v>
      </c>
      <c r="M39" s="6" t="s">
        <v>6</v>
      </c>
      <c r="N39" s="6">
        <f>复制!G37</f>
        <v>0</v>
      </c>
      <c r="O39" s="6" t="s">
        <v>6</v>
      </c>
      <c r="P39" s="18">
        <f t="shared" si="0"/>
        <v>0</v>
      </c>
      <c r="Q39" s="8" t="s">
        <v>6</v>
      </c>
      <c r="S39" s="11">
        <f ca="1">IF($B39&lt;&gt;0,复制!H37,NOW())</f>
        <v>43199.857517476848</v>
      </c>
      <c r="T39" s="11">
        <f ca="1">IF($B39&lt;&gt;0,复制!I37,NOW())</f>
        <v>43199.857517476848</v>
      </c>
      <c r="U39" s="11">
        <f ca="1">IF($B39&lt;&gt;0,复制!J37,NOW())</f>
        <v>43199.857517476848</v>
      </c>
      <c r="V39" s="6">
        <f t="shared" ca="1" si="1"/>
        <v>0</v>
      </c>
    </row>
    <row r="40" spans="1:22" x14ac:dyDescent="0.15">
      <c r="A40" s="6" t="s">
        <v>5</v>
      </c>
      <c r="B40" s="6">
        <f>复制!A38</f>
        <v>0</v>
      </c>
      <c r="C40" s="6" t="s">
        <v>7</v>
      </c>
      <c r="D40" s="6">
        <f>复制!B38</f>
        <v>0</v>
      </c>
      <c r="E40" s="6" t="s">
        <v>8</v>
      </c>
      <c r="F40" s="6">
        <f>复制!C38</f>
        <v>0</v>
      </c>
      <c r="G40" s="6" t="s">
        <v>9</v>
      </c>
      <c r="H40" s="6">
        <f>复制!D38</f>
        <v>0</v>
      </c>
      <c r="I40" s="6" t="s">
        <v>6</v>
      </c>
      <c r="J40" s="6">
        <f>复制!E38</f>
        <v>0</v>
      </c>
      <c r="K40" s="6" t="s">
        <v>6</v>
      </c>
      <c r="L40" s="6">
        <f>复制!F38</f>
        <v>0</v>
      </c>
      <c r="M40" s="6" t="s">
        <v>6</v>
      </c>
      <c r="N40" s="6">
        <f>复制!G38</f>
        <v>0</v>
      </c>
      <c r="O40" s="6" t="s">
        <v>6</v>
      </c>
      <c r="P40" s="18">
        <f t="shared" si="0"/>
        <v>0</v>
      </c>
      <c r="Q40" s="8" t="s">
        <v>6</v>
      </c>
      <c r="S40" s="11">
        <f ca="1">IF($B40&lt;&gt;0,复制!H38,NOW())</f>
        <v>43199.857517476848</v>
      </c>
      <c r="T40" s="11">
        <f ca="1">IF($B40&lt;&gt;0,复制!I38,NOW())</f>
        <v>43199.857517476848</v>
      </c>
      <c r="U40" s="11">
        <f ca="1">IF($B40&lt;&gt;0,复制!J38,NOW())</f>
        <v>43199.857517476848</v>
      </c>
      <c r="V40" s="6">
        <f t="shared" ca="1" si="1"/>
        <v>0</v>
      </c>
    </row>
    <row r="41" spans="1:22" x14ac:dyDescent="0.15">
      <c r="A41" s="6" t="s">
        <v>5</v>
      </c>
      <c r="B41" s="6">
        <f>复制!A39</f>
        <v>0</v>
      </c>
      <c r="C41" s="6" t="s">
        <v>7</v>
      </c>
      <c r="D41" s="6">
        <f>复制!B39</f>
        <v>0</v>
      </c>
      <c r="E41" s="6" t="s">
        <v>8</v>
      </c>
      <c r="F41" s="6">
        <f>复制!C39</f>
        <v>0</v>
      </c>
      <c r="G41" s="6" t="s">
        <v>9</v>
      </c>
      <c r="H41" s="6">
        <f>复制!D39</f>
        <v>0</v>
      </c>
      <c r="I41" s="6" t="s">
        <v>6</v>
      </c>
      <c r="J41" s="6">
        <f>复制!E39</f>
        <v>0</v>
      </c>
      <c r="K41" s="6" t="s">
        <v>6</v>
      </c>
      <c r="L41" s="6">
        <f>复制!F39</f>
        <v>0</v>
      </c>
      <c r="M41" s="6" t="s">
        <v>6</v>
      </c>
      <c r="N41" s="6">
        <f>复制!G39</f>
        <v>0</v>
      </c>
      <c r="O41" s="6" t="s">
        <v>6</v>
      </c>
      <c r="P41" s="18">
        <f t="shared" si="0"/>
        <v>0</v>
      </c>
      <c r="Q41" s="8" t="s">
        <v>6</v>
      </c>
      <c r="S41" s="11">
        <f ca="1">IF($B41&lt;&gt;0,复制!H39,NOW())</f>
        <v>43199.857517476848</v>
      </c>
      <c r="T41" s="11">
        <f ca="1">IF($B41&lt;&gt;0,复制!I39,NOW())</f>
        <v>43199.857517476848</v>
      </c>
      <c r="U41" s="11">
        <f ca="1">IF($B41&lt;&gt;0,复制!J39,NOW())</f>
        <v>43199.857517476848</v>
      </c>
      <c r="V41" s="6">
        <f t="shared" ca="1" si="1"/>
        <v>0</v>
      </c>
    </row>
    <row r="42" spans="1:22" x14ac:dyDescent="0.15">
      <c r="A42" s="6" t="s">
        <v>5</v>
      </c>
      <c r="B42" s="6">
        <f>复制!A40</f>
        <v>0</v>
      </c>
      <c r="C42" s="6" t="s">
        <v>7</v>
      </c>
      <c r="D42" s="6">
        <f>复制!B40</f>
        <v>0</v>
      </c>
      <c r="E42" s="6" t="s">
        <v>8</v>
      </c>
      <c r="F42" s="6">
        <f>复制!C40</f>
        <v>0</v>
      </c>
      <c r="G42" s="6" t="s">
        <v>9</v>
      </c>
      <c r="H42" s="6">
        <f>复制!D40</f>
        <v>0</v>
      </c>
      <c r="I42" s="6" t="s">
        <v>6</v>
      </c>
      <c r="J42" s="6">
        <f>复制!E40</f>
        <v>0</v>
      </c>
      <c r="K42" s="6" t="s">
        <v>6</v>
      </c>
      <c r="L42" s="6">
        <f>复制!F40</f>
        <v>0</v>
      </c>
      <c r="M42" s="6" t="s">
        <v>6</v>
      </c>
      <c r="N42" s="6">
        <f>复制!G40</f>
        <v>0</v>
      </c>
      <c r="O42" s="6" t="s">
        <v>6</v>
      </c>
      <c r="P42" s="18">
        <f t="shared" si="0"/>
        <v>0</v>
      </c>
      <c r="Q42" s="8" t="s">
        <v>6</v>
      </c>
      <c r="S42" s="11">
        <f ca="1">IF($B42&lt;&gt;0,复制!H40,NOW())</f>
        <v>43199.857517476848</v>
      </c>
      <c r="T42" s="11">
        <f ca="1">IF($B42&lt;&gt;0,复制!I40,NOW())</f>
        <v>43199.857517476848</v>
      </c>
      <c r="U42" s="11">
        <f ca="1">IF($B42&lt;&gt;0,复制!J40,NOW())</f>
        <v>43199.857517476848</v>
      </c>
      <c r="V42" s="6">
        <f t="shared" ca="1" si="1"/>
        <v>0</v>
      </c>
    </row>
    <row r="43" spans="1:22" x14ac:dyDescent="0.15">
      <c r="A43" s="6" t="s">
        <v>5</v>
      </c>
      <c r="B43" s="6">
        <f>复制!A41</f>
        <v>0</v>
      </c>
      <c r="C43" s="6" t="s">
        <v>7</v>
      </c>
      <c r="D43" s="6">
        <f>复制!B41</f>
        <v>0</v>
      </c>
      <c r="E43" s="6" t="s">
        <v>8</v>
      </c>
      <c r="F43" s="6">
        <f>复制!C41</f>
        <v>0</v>
      </c>
      <c r="G43" s="6" t="s">
        <v>9</v>
      </c>
      <c r="H43" s="6">
        <f>复制!D41</f>
        <v>0</v>
      </c>
      <c r="I43" s="6" t="s">
        <v>6</v>
      </c>
      <c r="J43" s="6">
        <f>复制!E41</f>
        <v>0</v>
      </c>
      <c r="K43" s="6" t="s">
        <v>6</v>
      </c>
      <c r="L43" s="6">
        <f>复制!F41</f>
        <v>0</v>
      </c>
      <c r="M43" s="6" t="s">
        <v>6</v>
      </c>
      <c r="N43" s="6">
        <f>复制!G41</f>
        <v>0</v>
      </c>
      <c r="O43" s="6" t="s">
        <v>6</v>
      </c>
      <c r="P43" s="18">
        <f t="shared" si="0"/>
        <v>0</v>
      </c>
      <c r="Q43" s="8" t="s">
        <v>6</v>
      </c>
      <c r="S43" s="11">
        <f ca="1">IF($B43&lt;&gt;0,复制!H41,NOW())</f>
        <v>43199.857517476848</v>
      </c>
      <c r="T43" s="11">
        <f ca="1">IF($B43&lt;&gt;0,复制!I41,NOW())</f>
        <v>43199.857517476848</v>
      </c>
      <c r="U43" s="11">
        <f ca="1">IF($B43&lt;&gt;0,复制!J41,NOW())</f>
        <v>43199.857517476848</v>
      </c>
      <c r="V43" s="6">
        <f t="shared" ca="1" si="1"/>
        <v>0</v>
      </c>
    </row>
    <row r="44" spans="1:22" x14ac:dyDescent="0.15">
      <c r="A44" s="6" t="s">
        <v>5</v>
      </c>
      <c r="B44" s="6">
        <f>复制!A42</f>
        <v>0</v>
      </c>
      <c r="C44" s="6" t="s">
        <v>7</v>
      </c>
      <c r="D44" s="6">
        <f>复制!B42</f>
        <v>0</v>
      </c>
      <c r="E44" s="6" t="s">
        <v>8</v>
      </c>
      <c r="F44" s="6">
        <f>复制!C42</f>
        <v>0</v>
      </c>
      <c r="G44" s="6" t="s">
        <v>9</v>
      </c>
      <c r="H44" s="6">
        <f>复制!D42</f>
        <v>0</v>
      </c>
      <c r="I44" s="6" t="s">
        <v>6</v>
      </c>
      <c r="J44" s="6">
        <f>复制!E42</f>
        <v>0</v>
      </c>
      <c r="K44" s="6" t="s">
        <v>6</v>
      </c>
      <c r="L44" s="6">
        <f>复制!F42</f>
        <v>0</v>
      </c>
      <c r="M44" s="6" t="s">
        <v>6</v>
      </c>
      <c r="N44" s="6">
        <f>复制!G42</f>
        <v>0</v>
      </c>
      <c r="O44" s="6" t="s">
        <v>6</v>
      </c>
      <c r="P44" s="18">
        <f t="shared" si="0"/>
        <v>0</v>
      </c>
      <c r="Q44" s="8" t="s">
        <v>6</v>
      </c>
      <c r="S44" s="11">
        <f ca="1">IF($B44&lt;&gt;0,复制!H42,NOW())</f>
        <v>43199.857517476848</v>
      </c>
      <c r="T44" s="11">
        <f ca="1">IF($B44&lt;&gt;0,复制!I42,NOW())</f>
        <v>43199.857517476848</v>
      </c>
      <c r="U44" s="11">
        <f ca="1">IF($B44&lt;&gt;0,复制!J42,NOW())</f>
        <v>43199.857517476848</v>
      </c>
      <c r="V44" s="6">
        <f t="shared" ca="1" si="1"/>
        <v>0</v>
      </c>
    </row>
    <row r="45" spans="1:22" x14ac:dyDescent="0.15">
      <c r="A45" s="6" t="s">
        <v>5</v>
      </c>
      <c r="B45" s="6">
        <f>复制!A43</f>
        <v>0</v>
      </c>
      <c r="C45" s="6" t="s">
        <v>7</v>
      </c>
      <c r="D45" s="6">
        <f>复制!B43</f>
        <v>0</v>
      </c>
      <c r="E45" s="6" t="s">
        <v>8</v>
      </c>
      <c r="F45" s="6">
        <f>复制!C43</f>
        <v>0</v>
      </c>
      <c r="G45" s="6" t="s">
        <v>9</v>
      </c>
      <c r="H45" s="6">
        <f>复制!D43</f>
        <v>0</v>
      </c>
      <c r="I45" s="6" t="s">
        <v>6</v>
      </c>
      <c r="J45" s="6">
        <f>复制!E43</f>
        <v>0</v>
      </c>
      <c r="K45" s="6" t="s">
        <v>6</v>
      </c>
      <c r="L45" s="6">
        <f>复制!F43</f>
        <v>0</v>
      </c>
      <c r="M45" s="6" t="s">
        <v>6</v>
      </c>
      <c r="N45" s="6">
        <f>复制!G43</f>
        <v>0</v>
      </c>
      <c r="O45" s="6" t="s">
        <v>6</v>
      </c>
      <c r="P45" s="18">
        <f t="shared" si="0"/>
        <v>0</v>
      </c>
      <c r="Q45" s="8" t="s">
        <v>6</v>
      </c>
      <c r="S45" s="11">
        <f ca="1">IF($B45&lt;&gt;0,复制!H43,NOW())</f>
        <v>43199.857517476848</v>
      </c>
      <c r="T45" s="11">
        <f ca="1">IF($B45&lt;&gt;0,复制!I43,NOW())</f>
        <v>43199.857517476848</v>
      </c>
      <c r="U45" s="11">
        <f ca="1">IF($B45&lt;&gt;0,复制!J43,NOW())</f>
        <v>43199.857517476848</v>
      </c>
      <c r="V45" s="6">
        <f t="shared" ca="1" si="1"/>
        <v>0</v>
      </c>
    </row>
    <row r="46" spans="1:22" x14ac:dyDescent="0.15">
      <c r="A46" s="6" t="s">
        <v>5</v>
      </c>
      <c r="B46" s="6">
        <f>复制!A44</f>
        <v>0</v>
      </c>
      <c r="C46" s="6" t="s">
        <v>7</v>
      </c>
      <c r="D46" s="6">
        <f>复制!B44</f>
        <v>0</v>
      </c>
      <c r="E46" s="6" t="s">
        <v>8</v>
      </c>
      <c r="F46" s="6">
        <f>复制!C44</f>
        <v>0</v>
      </c>
      <c r="G46" s="6" t="s">
        <v>9</v>
      </c>
      <c r="H46" s="6">
        <f>复制!D44</f>
        <v>0</v>
      </c>
      <c r="I46" s="6" t="s">
        <v>6</v>
      </c>
      <c r="J46" s="6">
        <f>复制!E44</f>
        <v>0</v>
      </c>
      <c r="K46" s="6" t="s">
        <v>6</v>
      </c>
      <c r="L46" s="6">
        <f>复制!F44</f>
        <v>0</v>
      </c>
      <c r="M46" s="6" t="s">
        <v>6</v>
      </c>
      <c r="N46" s="6">
        <f>复制!G44</f>
        <v>0</v>
      </c>
      <c r="O46" s="6" t="s">
        <v>6</v>
      </c>
      <c r="P46" s="18">
        <f t="shared" si="0"/>
        <v>0</v>
      </c>
      <c r="Q46" s="8" t="s">
        <v>6</v>
      </c>
      <c r="S46" s="11">
        <f ca="1">IF($B46&lt;&gt;0,复制!H44,NOW())</f>
        <v>43199.857517476848</v>
      </c>
      <c r="T46" s="11">
        <f ca="1">IF($B46&lt;&gt;0,复制!I44,NOW())</f>
        <v>43199.857517476848</v>
      </c>
      <c r="U46" s="11">
        <f ca="1">IF($B46&lt;&gt;0,复制!J44,NOW())</f>
        <v>43199.857517476848</v>
      </c>
      <c r="V46" s="6">
        <f t="shared" ca="1" si="1"/>
        <v>0</v>
      </c>
    </row>
    <row r="47" spans="1:22" x14ac:dyDescent="0.15">
      <c r="A47" s="6" t="s">
        <v>5</v>
      </c>
      <c r="B47" s="6">
        <f>复制!A45</f>
        <v>0</v>
      </c>
      <c r="C47" s="6" t="s">
        <v>7</v>
      </c>
      <c r="D47" s="6">
        <f>复制!B45</f>
        <v>0</v>
      </c>
      <c r="E47" s="6" t="s">
        <v>8</v>
      </c>
      <c r="F47" s="6">
        <f>复制!C45</f>
        <v>0</v>
      </c>
      <c r="G47" s="6" t="s">
        <v>9</v>
      </c>
      <c r="H47" s="6">
        <f>复制!D45</f>
        <v>0</v>
      </c>
      <c r="I47" s="6" t="s">
        <v>6</v>
      </c>
      <c r="J47" s="6">
        <f>复制!E45</f>
        <v>0</v>
      </c>
      <c r="K47" s="6" t="s">
        <v>6</v>
      </c>
      <c r="L47" s="6">
        <f>复制!F45</f>
        <v>0</v>
      </c>
      <c r="M47" s="6" t="s">
        <v>6</v>
      </c>
      <c r="N47" s="6">
        <f>复制!G45</f>
        <v>0</v>
      </c>
      <c r="O47" s="6" t="s">
        <v>6</v>
      </c>
      <c r="P47" s="18">
        <f t="shared" si="0"/>
        <v>0</v>
      </c>
      <c r="Q47" s="8" t="s">
        <v>6</v>
      </c>
      <c r="S47" s="11">
        <f ca="1">IF($B47&lt;&gt;0,复制!H45,NOW())</f>
        <v>43199.857517476848</v>
      </c>
      <c r="T47" s="11">
        <f ca="1">IF($B47&lt;&gt;0,复制!I45,NOW())</f>
        <v>43199.857517476848</v>
      </c>
      <c r="U47" s="11">
        <f ca="1">IF($B47&lt;&gt;0,复制!J45,NOW())</f>
        <v>43199.857517476848</v>
      </c>
      <c r="V47" s="6">
        <f t="shared" ca="1" si="1"/>
        <v>0</v>
      </c>
    </row>
    <row r="48" spans="1:22" x14ac:dyDescent="0.15">
      <c r="A48" s="6" t="s">
        <v>5</v>
      </c>
      <c r="B48" s="6">
        <f>复制!A46</f>
        <v>0</v>
      </c>
      <c r="C48" s="6" t="s">
        <v>7</v>
      </c>
      <c r="D48" s="6">
        <f>复制!B46</f>
        <v>0</v>
      </c>
      <c r="E48" s="6" t="s">
        <v>8</v>
      </c>
      <c r="F48" s="6">
        <f>复制!C46</f>
        <v>0</v>
      </c>
      <c r="G48" s="6" t="s">
        <v>9</v>
      </c>
      <c r="H48" s="6">
        <f>复制!D46</f>
        <v>0</v>
      </c>
      <c r="I48" s="6" t="s">
        <v>6</v>
      </c>
      <c r="J48" s="6">
        <f>复制!E46</f>
        <v>0</v>
      </c>
      <c r="K48" s="6" t="s">
        <v>6</v>
      </c>
      <c r="L48" s="6">
        <f>复制!F46</f>
        <v>0</v>
      </c>
      <c r="M48" s="6" t="s">
        <v>6</v>
      </c>
      <c r="N48" s="6">
        <f>复制!G46</f>
        <v>0</v>
      </c>
      <c r="O48" s="6" t="s">
        <v>6</v>
      </c>
      <c r="P48" s="18">
        <f t="shared" si="0"/>
        <v>0</v>
      </c>
      <c r="Q48" s="8" t="s">
        <v>6</v>
      </c>
      <c r="S48" s="11">
        <f ca="1">IF($B48&lt;&gt;0,复制!H46,NOW())</f>
        <v>43199.857517476848</v>
      </c>
      <c r="T48" s="11">
        <f ca="1">IF($B48&lt;&gt;0,复制!I46,NOW())</f>
        <v>43199.857517476848</v>
      </c>
      <c r="U48" s="11">
        <f ca="1">IF($B48&lt;&gt;0,复制!J46,NOW())</f>
        <v>43199.857517476848</v>
      </c>
      <c r="V48" s="6">
        <f t="shared" ca="1" si="1"/>
        <v>0</v>
      </c>
    </row>
    <row r="49" spans="1:22" x14ac:dyDescent="0.15">
      <c r="A49" s="6" t="s">
        <v>5</v>
      </c>
      <c r="B49" s="6">
        <f>复制!A47</f>
        <v>0</v>
      </c>
      <c r="C49" s="6" t="s">
        <v>7</v>
      </c>
      <c r="D49" s="6">
        <f>复制!B47</f>
        <v>0</v>
      </c>
      <c r="E49" s="6" t="s">
        <v>8</v>
      </c>
      <c r="F49" s="6">
        <f>复制!C47</f>
        <v>0</v>
      </c>
      <c r="G49" s="6" t="s">
        <v>9</v>
      </c>
      <c r="H49" s="6">
        <f>复制!D47</f>
        <v>0</v>
      </c>
      <c r="I49" s="6" t="s">
        <v>6</v>
      </c>
      <c r="J49" s="6">
        <f>复制!E47</f>
        <v>0</v>
      </c>
      <c r="K49" s="6" t="s">
        <v>6</v>
      </c>
      <c r="L49" s="6">
        <f>复制!F47</f>
        <v>0</v>
      </c>
      <c r="M49" s="6" t="s">
        <v>6</v>
      </c>
      <c r="N49" s="6">
        <f>复制!G47</f>
        <v>0</v>
      </c>
      <c r="O49" s="6" t="s">
        <v>6</v>
      </c>
      <c r="P49" s="18">
        <f t="shared" si="0"/>
        <v>0</v>
      </c>
      <c r="Q49" s="8" t="s">
        <v>6</v>
      </c>
      <c r="S49" s="11">
        <f ca="1">IF($B49&lt;&gt;0,复制!H47,NOW())</f>
        <v>43199.857517476848</v>
      </c>
      <c r="T49" s="11">
        <f ca="1">IF($B49&lt;&gt;0,复制!I47,NOW())</f>
        <v>43199.857517476848</v>
      </c>
      <c r="U49" s="11">
        <f ca="1">IF($B49&lt;&gt;0,复制!J47,NOW())</f>
        <v>43199.857517476848</v>
      </c>
      <c r="V49" s="6">
        <f t="shared" ca="1" si="1"/>
        <v>0</v>
      </c>
    </row>
    <row r="50" spans="1:22" x14ac:dyDescent="0.15">
      <c r="A50" s="6" t="s">
        <v>5</v>
      </c>
      <c r="B50" s="6">
        <f>复制!A48</f>
        <v>0</v>
      </c>
      <c r="C50" s="6" t="s">
        <v>7</v>
      </c>
      <c r="D50" s="6">
        <f>复制!B48</f>
        <v>0</v>
      </c>
      <c r="E50" s="6" t="s">
        <v>8</v>
      </c>
      <c r="F50" s="6">
        <f>复制!C48</f>
        <v>0</v>
      </c>
      <c r="G50" s="6" t="s">
        <v>9</v>
      </c>
      <c r="H50" s="6">
        <f>复制!D48</f>
        <v>0</v>
      </c>
      <c r="I50" s="6" t="s">
        <v>6</v>
      </c>
      <c r="J50" s="6">
        <f>复制!E48</f>
        <v>0</v>
      </c>
      <c r="K50" s="6" t="s">
        <v>6</v>
      </c>
      <c r="L50" s="6">
        <f>复制!F48</f>
        <v>0</v>
      </c>
      <c r="M50" s="6" t="s">
        <v>6</v>
      </c>
      <c r="N50" s="6">
        <f>复制!G48</f>
        <v>0</v>
      </c>
      <c r="O50" s="6" t="s">
        <v>6</v>
      </c>
      <c r="P50" s="18">
        <f t="shared" si="0"/>
        <v>0</v>
      </c>
      <c r="Q50" s="8" t="s">
        <v>6</v>
      </c>
      <c r="S50" s="11">
        <f ca="1">IF($B50&lt;&gt;0,复制!H48,NOW())</f>
        <v>43199.857517476848</v>
      </c>
      <c r="T50" s="11">
        <f ca="1">IF($B50&lt;&gt;0,复制!I48,NOW())</f>
        <v>43199.857517476848</v>
      </c>
      <c r="U50" s="11">
        <f ca="1">IF($B50&lt;&gt;0,复制!J48,NOW())</f>
        <v>43199.857517476848</v>
      </c>
      <c r="V50" s="6">
        <f t="shared" ca="1" si="1"/>
        <v>0</v>
      </c>
    </row>
    <row r="51" spans="1:22" x14ac:dyDescent="0.15">
      <c r="A51" s="6" t="s">
        <v>5</v>
      </c>
      <c r="B51" s="6">
        <f>复制!A49</f>
        <v>0</v>
      </c>
      <c r="C51" s="6" t="s">
        <v>7</v>
      </c>
      <c r="D51" s="6">
        <f>复制!B49</f>
        <v>0</v>
      </c>
      <c r="E51" s="6" t="s">
        <v>8</v>
      </c>
      <c r="F51" s="6">
        <f>复制!C49</f>
        <v>0</v>
      </c>
      <c r="G51" s="6" t="s">
        <v>9</v>
      </c>
      <c r="H51" s="6">
        <f>复制!D49</f>
        <v>0</v>
      </c>
      <c r="I51" s="6" t="s">
        <v>6</v>
      </c>
      <c r="J51" s="6">
        <f>复制!E49</f>
        <v>0</v>
      </c>
      <c r="K51" s="6" t="s">
        <v>6</v>
      </c>
      <c r="L51" s="6">
        <f>复制!F49</f>
        <v>0</v>
      </c>
      <c r="M51" s="6" t="s">
        <v>6</v>
      </c>
      <c r="N51" s="6">
        <f>复制!G49</f>
        <v>0</v>
      </c>
      <c r="O51" s="6" t="s">
        <v>6</v>
      </c>
      <c r="P51" s="18">
        <f t="shared" si="0"/>
        <v>0</v>
      </c>
      <c r="Q51" s="8" t="s">
        <v>6</v>
      </c>
      <c r="S51" s="11">
        <f ca="1">IF($B51&lt;&gt;0,复制!H49,NOW())</f>
        <v>43199.857517476848</v>
      </c>
      <c r="T51" s="11">
        <f ca="1">IF($B51&lt;&gt;0,复制!I49,NOW())</f>
        <v>43199.857517476848</v>
      </c>
      <c r="U51" s="11">
        <f ca="1">IF($B51&lt;&gt;0,复制!J49,NOW())</f>
        <v>43199.857517476848</v>
      </c>
      <c r="V51" s="6">
        <f t="shared" ca="1" si="1"/>
        <v>0</v>
      </c>
    </row>
    <row r="52" spans="1:22" x14ac:dyDescent="0.15">
      <c r="A52" s="6" t="s">
        <v>5</v>
      </c>
      <c r="B52" s="6">
        <f>复制!A50</f>
        <v>0</v>
      </c>
      <c r="C52" s="6" t="s">
        <v>7</v>
      </c>
      <c r="D52" s="6">
        <f>复制!B50</f>
        <v>0</v>
      </c>
      <c r="E52" s="6" t="s">
        <v>8</v>
      </c>
      <c r="F52" s="6">
        <f>复制!C50</f>
        <v>0</v>
      </c>
      <c r="G52" s="6" t="s">
        <v>9</v>
      </c>
      <c r="H52" s="6">
        <f>复制!D50</f>
        <v>0</v>
      </c>
      <c r="I52" s="6" t="s">
        <v>6</v>
      </c>
      <c r="J52" s="6">
        <f>复制!E50</f>
        <v>0</v>
      </c>
      <c r="K52" s="6" t="s">
        <v>6</v>
      </c>
      <c r="L52" s="6">
        <f>复制!F50</f>
        <v>0</v>
      </c>
      <c r="M52" s="6" t="s">
        <v>6</v>
      </c>
      <c r="N52" s="6">
        <f>复制!G50</f>
        <v>0</v>
      </c>
      <c r="O52" s="6" t="s">
        <v>6</v>
      </c>
      <c r="P52" s="18">
        <f t="shared" si="0"/>
        <v>0</v>
      </c>
      <c r="Q52" s="8" t="s">
        <v>6</v>
      </c>
      <c r="S52" s="11">
        <f ca="1">IF($B52&lt;&gt;0,复制!H50,NOW())</f>
        <v>43199.857517476848</v>
      </c>
      <c r="T52" s="11">
        <f ca="1">IF($B52&lt;&gt;0,复制!I50,NOW())</f>
        <v>43199.857517476848</v>
      </c>
      <c r="U52" s="11">
        <f ca="1">IF($B52&lt;&gt;0,复制!J50,NOW())</f>
        <v>43199.857517476848</v>
      </c>
      <c r="V52" s="6">
        <f t="shared" ca="1" si="1"/>
        <v>0</v>
      </c>
    </row>
    <row r="53" spans="1:22" x14ac:dyDescent="0.15">
      <c r="A53" s="6" t="s">
        <v>5</v>
      </c>
      <c r="B53" s="6">
        <f>复制!A51</f>
        <v>0</v>
      </c>
      <c r="C53" s="6" t="s">
        <v>7</v>
      </c>
      <c r="D53" s="6">
        <f>复制!B51</f>
        <v>0</v>
      </c>
      <c r="E53" s="6" t="s">
        <v>8</v>
      </c>
      <c r="F53" s="6">
        <f>复制!C51</f>
        <v>0</v>
      </c>
      <c r="G53" s="6" t="s">
        <v>9</v>
      </c>
      <c r="H53" s="6">
        <f>复制!D51</f>
        <v>0</v>
      </c>
      <c r="I53" s="6" t="s">
        <v>6</v>
      </c>
      <c r="J53" s="6">
        <f>复制!E51</f>
        <v>0</v>
      </c>
      <c r="K53" s="6" t="s">
        <v>6</v>
      </c>
      <c r="L53" s="6">
        <f>复制!F51</f>
        <v>0</v>
      </c>
      <c r="M53" s="6" t="s">
        <v>6</v>
      </c>
      <c r="N53" s="6">
        <f>复制!G51</f>
        <v>0</v>
      </c>
      <c r="O53" s="6" t="s">
        <v>6</v>
      </c>
      <c r="P53" s="18">
        <f t="shared" si="0"/>
        <v>0</v>
      </c>
      <c r="Q53" s="8" t="s">
        <v>6</v>
      </c>
      <c r="S53" s="11">
        <f ca="1">IF($B53&lt;&gt;0,复制!H51,NOW())</f>
        <v>43199.857517476848</v>
      </c>
      <c r="T53" s="11">
        <f ca="1">IF($B53&lt;&gt;0,复制!I51,NOW())</f>
        <v>43199.857517476848</v>
      </c>
      <c r="U53" s="11">
        <f ca="1">IF($B53&lt;&gt;0,复制!J51,NOW())</f>
        <v>43199.857517476848</v>
      </c>
      <c r="V53" s="6">
        <f t="shared" ca="1" si="1"/>
        <v>0</v>
      </c>
    </row>
    <row r="54" spans="1:22" x14ac:dyDescent="0.15">
      <c r="A54" s="6" t="s">
        <v>5</v>
      </c>
      <c r="B54" s="6">
        <f>复制!A52</f>
        <v>0</v>
      </c>
      <c r="C54" s="6" t="s">
        <v>7</v>
      </c>
      <c r="D54" s="6">
        <f>复制!B52</f>
        <v>0</v>
      </c>
      <c r="E54" s="6" t="s">
        <v>8</v>
      </c>
      <c r="F54" s="6">
        <f>复制!C52</f>
        <v>0</v>
      </c>
      <c r="G54" s="6" t="s">
        <v>9</v>
      </c>
      <c r="H54" s="6">
        <f>复制!D52</f>
        <v>0</v>
      </c>
      <c r="I54" s="6" t="s">
        <v>6</v>
      </c>
      <c r="J54" s="6">
        <f>复制!E52</f>
        <v>0</v>
      </c>
      <c r="K54" s="6" t="s">
        <v>6</v>
      </c>
      <c r="L54" s="6">
        <f>复制!F52</f>
        <v>0</v>
      </c>
      <c r="M54" s="6" t="s">
        <v>6</v>
      </c>
      <c r="N54" s="6">
        <f>复制!G52</f>
        <v>0</v>
      </c>
      <c r="O54" s="6" t="s">
        <v>6</v>
      </c>
      <c r="P54" s="18">
        <f t="shared" si="0"/>
        <v>0</v>
      </c>
      <c r="Q54" s="8" t="s">
        <v>6</v>
      </c>
      <c r="S54" s="11">
        <f ca="1">IF($B54&lt;&gt;0,复制!H52,NOW())</f>
        <v>43199.857517476848</v>
      </c>
      <c r="T54" s="11">
        <f ca="1">IF($B54&lt;&gt;0,复制!I52,NOW())</f>
        <v>43199.857517476848</v>
      </c>
      <c r="U54" s="11">
        <f ca="1">IF($B54&lt;&gt;0,复制!J52,NOW())</f>
        <v>43199.857517476848</v>
      </c>
      <c r="V54" s="6">
        <f t="shared" ca="1" si="1"/>
        <v>0</v>
      </c>
    </row>
    <row r="55" spans="1:22" x14ac:dyDescent="0.15">
      <c r="A55" s="6" t="s">
        <v>5</v>
      </c>
      <c r="B55" s="6">
        <f>复制!A53</f>
        <v>0</v>
      </c>
      <c r="C55" s="6" t="s">
        <v>7</v>
      </c>
      <c r="D55" s="6">
        <f>复制!B53</f>
        <v>0</v>
      </c>
      <c r="E55" s="6" t="s">
        <v>8</v>
      </c>
      <c r="F55" s="6">
        <f>复制!C53</f>
        <v>0</v>
      </c>
      <c r="G55" s="6" t="s">
        <v>9</v>
      </c>
      <c r="H55" s="6">
        <f>复制!D53</f>
        <v>0</v>
      </c>
      <c r="I55" s="6" t="s">
        <v>6</v>
      </c>
      <c r="J55" s="6">
        <f>复制!E53</f>
        <v>0</v>
      </c>
      <c r="K55" s="6" t="s">
        <v>6</v>
      </c>
      <c r="L55" s="6">
        <f>复制!F53</f>
        <v>0</v>
      </c>
      <c r="M55" s="6" t="s">
        <v>6</v>
      </c>
      <c r="N55" s="6">
        <f>复制!G53</f>
        <v>0</v>
      </c>
      <c r="O55" s="6" t="s">
        <v>6</v>
      </c>
      <c r="P55" s="18">
        <f t="shared" si="0"/>
        <v>0</v>
      </c>
      <c r="Q55" s="8" t="s">
        <v>6</v>
      </c>
      <c r="S55" s="11">
        <f ca="1">IF($B55&lt;&gt;0,复制!H53,NOW())</f>
        <v>43199.857517476848</v>
      </c>
      <c r="T55" s="11">
        <f ca="1">IF($B55&lt;&gt;0,复制!I53,NOW())</f>
        <v>43199.857517476848</v>
      </c>
      <c r="U55" s="11">
        <f ca="1">IF($B55&lt;&gt;0,复制!J53,NOW())</f>
        <v>43199.857517476848</v>
      </c>
      <c r="V55" s="6">
        <f t="shared" ca="1" si="1"/>
        <v>0</v>
      </c>
    </row>
    <row r="56" spans="1:22" x14ac:dyDescent="0.15">
      <c r="A56" s="6" t="s">
        <v>5</v>
      </c>
      <c r="B56" s="6">
        <f>复制!A54</f>
        <v>0</v>
      </c>
      <c r="C56" s="6" t="s">
        <v>7</v>
      </c>
      <c r="D56" s="6">
        <f>复制!B54</f>
        <v>0</v>
      </c>
      <c r="E56" s="6" t="s">
        <v>8</v>
      </c>
      <c r="F56" s="6">
        <f>复制!C54</f>
        <v>0</v>
      </c>
      <c r="G56" s="6" t="s">
        <v>9</v>
      </c>
      <c r="H56" s="6">
        <f>复制!D54</f>
        <v>0</v>
      </c>
      <c r="I56" s="6" t="s">
        <v>6</v>
      </c>
      <c r="J56" s="6">
        <f>复制!E54</f>
        <v>0</v>
      </c>
      <c r="K56" s="6" t="s">
        <v>6</v>
      </c>
      <c r="L56" s="6">
        <f>复制!F54</f>
        <v>0</v>
      </c>
      <c r="M56" s="6" t="s">
        <v>6</v>
      </c>
      <c r="N56" s="6">
        <f>复制!G54</f>
        <v>0</v>
      </c>
      <c r="O56" s="6" t="s">
        <v>6</v>
      </c>
      <c r="P56" s="18">
        <f t="shared" si="0"/>
        <v>0</v>
      </c>
      <c r="Q56" s="8" t="s">
        <v>6</v>
      </c>
      <c r="S56" s="11">
        <f ca="1">IF($B56&lt;&gt;0,复制!H54,NOW())</f>
        <v>43199.857517476848</v>
      </c>
      <c r="T56" s="11">
        <f ca="1">IF($B56&lt;&gt;0,复制!I54,NOW())</f>
        <v>43199.857517476848</v>
      </c>
      <c r="U56" s="11">
        <f ca="1">IF($B56&lt;&gt;0,复制!J54,NOW())</f>
        <v>43199.857517476848</v>
      </c>
      <c r="V56" s="6">
        <f t="shared" ca="1" si="1"/>
        <v>0</v>
      </c>
    </row>
    <row r="57" spans="1:22" x14ac:dyDescent="0.15">
      <c r="A57" s="6" t="s">
        <v>5</v>
      </c>
      <c r="B57" s="6">
        <f>复制!A55</f>
        <v>0</v>
      </c>
      <c r="C57" s="6" t="s">
        <v>7</v>
      </c>
      <c r="D57" s="6">
        <f>复制!B55</f>
        <v>0</v>
      </c>
      <c r="E57" s="6" t="s">
        <v>8</v>
      </c>
      <c r="F57" s="6">
        <f>复制!C55</f>
        <v>0</v>
      </c>
      <c r="G57" s="6" t="s">
        <v>9</v>
      </c>
      <c r="H57" s="6">
        <f>复制!D55</f>
        <v>0</v>
      </c>
      <c r="I57" s="6" t="s">
        <v>6</v>
      </c>
      <c r="J57" s="6">
        <f>复制!E55</f>
        <v>0</v>
      </c>
      <c r="K57" s="6" t="s">
        <v>6</v>
      </c>
      <c r="L57" s="6">
        <f>复制!F55</f>
        <v>0</v>
      </c>
      <c r="M57" s="6" t="s">
        <v>6</v>
      </c>
      <c r="N57" s="6">
        <f>复制!G55</f>
        <v>0</v>
      </c>
      <c r="O57" s="6" t="s">
        <v>6</v>
      </c>
      <c r="P57" s="18">
        <f t="shared" si="0"/>
        <v>0</v>
      </c>
      <c r="Q57" s="8" t="s">
        <v>6</v>
      </c>
      <c r="S57" s="11">
        <f ca="1">IF($B57&lt;&gt;0,复制!H55,NOW())</f>
        <v>43199.857517476848</v>
      </c>
      <c r="T57" s="11">
        <f ca="1">IF($B57&lt;&gt;0,复制!I55,NOW())</f>
        <v>43199.857517476848</v>
      </c>
      <c r="U57" s="11">
        <f ca="1">IF($B57&lt;&gt;0,复制!J55,NOW())</f>
        <v>43199.857517476848</v>
      </c>
      <c r="V57" s="6">
        <f t="shared" ca="1" si="1"/>
        <v>0</v>
      </c>
    </row>
    <row r="58" spans="1:22" x14ac:dyDescent="0.15">
      <c r="A58" s="6" t="s">
        <v>5</v>
      </c>
      <c r="B58" s="6">
        <f>复制!A56</f>
        <v>0</v>
      </c>
      <c r="C58" s="6" t="s">
        <v>7</v>
      </c>
      <c r="D58" s="6">
        <f>复制!B56</f>
        <v>0</v>
      </c>
      <c r="E58" s="6" t="s">
        <v>8</v>
      </c>
      <c r="F58" s="6">
        <f>复制!C56</f>
        <v>0</v>
      </c>
      <c r="G58" s="6" t="s">
        <v>9</v>
      </c>
      <c r="H58" s="6">
        <f>复制!D56</f>
        <v>0</v>
      </c>
      <c r="I58" s="6" t="s">
        <v>6</v>
      </c>
      <c r="J58" s="6">
        <f>复制!E56</f>
        <v>0</v>
      </c>
      <c r="K58" s="6" t="s">
        <v>6</v>
      </c>
      <c r="L58" s="6">
        <f>复制!F56</f>
        <v>0</v>
      </c>
      <c r="M58" s="6" t="s">
        <v>6</v>
      </c>
      <c r="N58" s="6">
        <f>复制!G56</f>
        <v>0</v>
      </c>
      <c r="O58" s="6" t="s">
        <v>6</v>
      </c>
      <c r="P58" s="18">
        <f t="shared" si="0"/>
        <v>0</v>
      </c>
      <c r="Q58" s="8" t="s">
        <v>6</v>
      </c>
      <c r="S58" s="11">
        <f ca="1">IF($B58&lt;&gt;0,复制!H56,NOW())</f>
        <v>43199.857517476848</v>
      </c>
      <c r="T58" s="11">
        <f ca="1">IF($B58&lt;&gt;0,复制!I56,NOW())</f>
        <v>43199.857517476848</v>
      </c>
      <c r="U58" s="11">
        <f ca="1">IF($B58&lt;&gt;0,复制!J56,NOW())</f>
        <v>43199.857517476848</v>
      </c>
      <c r="V58" s="6">
        <f t="shared" ca="1" si="1"/>
        <v>0</v>
      </c>
    </row>
    <row r="59" spans="1:22" x14ac:dyDescent="0.15">
      <c r="A59" s="6" t="s">
        <v>5</v>
      </c>
      <c r="B59" s="6">
        <f>复制!A57</f>
        <v>0</v>
      </c>
      <c r="C59" s="6" t="s">
        <v>7</v>
      </c>
      <c r="D59" s="6">
        <f>复制!B57</f>
        <v>0</v>
      </c>
      <c r="E59" s="6" t="s">
        <v>8</v>
      </c>
      <c r="F59" s="6">
        <f>复制!C57</f>
        <v>0</v>
      </c>
      <c r="G59" s="6" t="s">
        <v>9</v>
      </c>
      <c r="H59" s="6">
        <f>复制!D57</f>
        <v>0</v>
      </c>
      <c r="I59" s="6" t="s">
        <v>6</v>
      </c>
      <c r="J59" s="6">
        <f>复制!E57</f>
        <v>0</v>
      </c>
      <c r="K59" s="6" t="s">
        <v>6</v>
      </c>
      <c r="L59" s="6">
        <f>复制!F57</f>
        <v>0</v>
      </c>
      <c r="M59" s="6" t="s">
        <v>6</v>
      </c>
      <c r="N59" s="6">
        <f>复制!G57</f>
        <v>0</v>
      </c>
      <c r="O59" s="6" t="s">
        <v>6</v>
      </c>
      <c r="P59" s="18">
        <f t="shared" si="0"/>
        <v>0</v>
      </c>
      <c r="Q59" s="8" t="s">
        <v>6</v>
      </c>
      <c r="S59" s="11">
        <f ca="1">IF($B59&lt;&gt;0,复制!H57,NOW())</f>
        <v>43199.857517476848</v>
      </c>
      <c r="T59" s="11">
        <f ca="1">IF($B59&lt;&gt;0,复制!I57,NOW())</f>
        <v>43199.857517476848</v>
      </c>
      <c r="U59" s="11">
        <f ca="1">IF($B59&lt;&gt;0,复制!J57,NOW())</f>
        <v>43199.857517476848</v>
      </c>
      <c r="V59" s="6">
        <f t="shared" ca="1" si="1"/>
        <v>0</v>
      </c>
    </row>
    <row r="60" spans="1:22" x14ac:dyDescent="0.15">
      <c r="A60" s="6" t="s">
        <v>5</v>
      </c>
      <c r="B60" s="6">
        <f>复制!A58</f>
        <v>0</v>
      </c>
      <c r="C60" s="6" t="s">
        <v>7</v>
      </c>
      <c r="D60" s="6">
        <f>复制!B58</f>
        <v>0</v>
      </c>
      <c r="E60" s="6" t="s">
        <v>8</v>
      </c>
      <c r="F60" s="6">
        <f>复制!C58</f>
        <v>0</v>
      </c>
      <c r="G60" s="6" t="s">
        <v>9</v>
      </c>
      <c r="H60" s="6">
        <f>复制!D58</f>
        <v>0</v>
      </c>
      <c r="I60" s="6" t="s">
        <v>6</v>
      </c>
      <c r="J60" s="6">
        <f>复制!E58</f>
        <v>0</v>
      </c>
      <c r="K60" s="6" t="s">
        <v>6</v>
      </c>
      <c r="L60" s="6">
        <f>复制!F58</f>
        <v>0</v>
      </c>
      <c r="M60" s="6" t="s">
        <v>6</v>
      </c>
      <c r="N60" s="6">
        <f>复制!G58</f>
        <v>0</v>
      </c>
      <c r="O60" s="6" t="s">
        <v>6</v>
      </c>
      <c r="P60" s="18">
        <f t="shared" si="0"/>
        <v>0</v>
      </c>
      <c r="Q60" s="8" t="s">
        <v>6</v>
      </c>
      <c r="S60" s="11">
        <f ca="1">IF($B60&lt;&gt;0,复制!H58,NOW())</f>
        <v>43199.857517476848</v>
      </c>
      <c r="T60" s="11">
        <f ca="1">IF($B60&lt;&gt;0,复制!I58,NOW())</f>
        <v>43199.857517476848</v>
      </c>
      <c r="U60" s="11">
        <f ca="1">IF($B60&lt;&gt;0,复制!J58,NOW())</f>
        <v>43199.857517476848</v>
      </c>
      <c r="V60" s="6">
        <f t="shared" ca="1" si="1"/>
        <v>0</v>
      </c>
    </row>
    <row r="61" spans="1:22" x14ac:dyDescent="0.15">
      <c r="A61" s="6" t="s">
        <v>5</v>
      </c>
      <c r="B61" s="6">
        <f>复制!A59</f>
        <v>0</v>
      </c>
      <c r="C61" s="6" t="s">
        <v>7</v>
      </c>
      <c r="D61" s="6">
        <f>复制!B59</f>
        <v>0</v>
      </c>
      <c r="E61" s="6" t="s">
        <v>8</v>
      </c>
      <c r="F61" s="6">
        <f>复制!C59</f>
        <v>0</v>
      </c>
      <c r="G61" s="6" t="s">
        <v>9</v>
      </c>
      <c r="H61" s="6">
        <f>复制!D59</f>
        <v>0</v>
      </c>
      <c r="I61" s="6" t="s">
        <v>6</v>
      </c>
      <c r="J61" s="6">
        <f>复制!E59</f>
        <v>0</v>
      </c>
      <c r="K61" s="6" t="s">
        <v>6</v>
      </c>
      <c r="L61" s="6">
        <f>复制!F59</f>
        <v>0</v>
      </c>
      <c r="M61" s="6" t="s">
        <v>6</v>
      </c>
      <c r="N61" s="6">
        <f>复制!G59</f>
        <v>0</v>
      </c>
      <c r="O61" s="6" t="s">
        <v>6</v>
      </c>
      <c r="P61" s="18">
        <f t="shared" si="0"/>
        <v>0</v>
      </c>
      <c r="Q61" s="8" t="s">
        <v>6</v>
      </c>
      <c r="S61" s="11">
        <f ca="1">IF($B61&lt;&gt;0,复制!H59,NOW())</f>
        <v>43199.857517476848</v>
      </c>
      <c r="T61" s="11">
        <f ca="1">IF($B61&lt;&gt;0,复制!I59,NOW())</f>
        <v>43199.857517476848</v>
      </c>
      <c r="U61" s="11">
        <f ca="1">IF($B61&lt;&gt;0,复制!J59,NOW())</f>
        <v>43199.857517476848</v>
      </c>
      <c r="V61" s="6">
        <f t="shared" ca="1" si="1"/>
        <v>0</v>
      </c>
    </row>
    <row r="62" spans="1:22" x14ac:dyDescent="0.15">
      <c r="A62" s="6" t="s">
        <v>5</v>
      </c>
      <c r="B62" s="6">
        <f>复制!A60</f>
        <v>0</v>
      </c>
      <c r="C62" s="6" t="s">
        <v>7</v>
      </c>
      <c r="D62" s="6">
        <f>复制!B60</f>
        <v>0</v>
      </c>
      <c r="E62" s="6" t="s">
        <v>8</v>
      </c>
      <c r="F62" s="6">
        <f>复制!C60</f>
        <v>0</v>
      </c>
      <c r="G62" s="6" t="s">
        <v>9</v>
      </c>
      <c r="H62" s="6">
        <f>复制!D60</f>
        <v>0</v>
      </c>
      <c r="I62" s="6" t="s">
        <v>6</v>
      </c>
      <c r="J62" s="6">
        <f>复制!E60</f>
        <v>0</v>
      </c>
      <c r="K62" s="6" t="s">
        <v>6</v>
      </c>
      <c r="L62" s="6">
        <f>复制!F60</f>
        <v>0</v>
      </c>
      <c r="M62" s="6" t="s">
        <v>6</v>
      </c>
      <c r="N62" s="6">
        <f>复制!G60</f>
        <v>0</v>
      </c>
      <c r="O62" s="6" t="s">
        <v>6</v>
      </c>
      <c r="P62" s="18">
        <f t="shared" si="0"/>
        <v>0</v>
      </c>
      <c r="Q62" s="8" t="s">
        <v>6</v>
      </c>
      <c r="S62" s="11">
        <f ca="1">IF($B62&lt;&gt;0,复制!H60,NOW())</f>
        <v>43199.857517476848</v>
      </c>
      <c r="T62" s="11">
        <f ca="1">IF($B62&lt;&gt;0,复制!I60,NOW())</f>
        <v>43199.857517476848</v>
      </c>
      <c r="U62" s="11">
        <f ca="1">IF($B62&lt;&gt;0,复制!J60,NOW())</f>
        <v>43199.857517476848</v>
      </c>
      <c r="V62" s="6">
        <f t="shared" ca="1" si="1"/>
        <v>0</v>
      </c>
    </row>
    <row r="63" spans="1:22" x14ac:dyDescent="0.15">
      <c r="A63" s="6" t="s">
        <v>5</v>
      </c>
      <c r="B63" s="6">
        <f>复制!A61</f>
        <v>0</v>
      </c>
      <c r="C63" s="6" t="s">
        <v>7</v>
      </c>
      <c r="D63" s="6">
        <f>复制!B61</f>
        <v>0</v>
      </c>
      <c r="E63" s="6" t="s">
        <v>8</v>
      </c>
      <c r="F63" s="6">
        <f>复制!C61</f>
        <v>0</v>
      </c>
      <c r="G63" s="6" t="s">
        <v>9</v>
      </c>
      <c r="H63" s="6">
        <f>复制!D61</f>
        <v>0</v>
      </c>
      <c r="I63" s="6" t="s">
        <v>6</v>
      </c>
      <c r="J63" s="6">
        <f>复制!E61</f>
        <v>0</v>
      </c>
      <c r="K63" s="6" t="s">
        <v>6</v>
      </c>
      <c r="L63" s="6">
        <f>复制!F61</f>
        <v>0</v>
      </c>
      <c r="M63" s="6" t="s">
        <v>6</v>
      </c>
      <c r="N63" s="6">
        <f>复制!G61</f>
        <v>0</v>
      </c>
      <c r="O63" s="6" t="s">
        <v>6</v>
      </c>
      <c r="P63" s="18">
        <f t="shared" si="0"/>
        <v>0</v>
      </c>
      <c r="Q63" s="8" t="s">
        <v>6</v>
      </c>
      <c r="S63" s="11">
        <f ca="1">IF($B63&lt;&gt;0,复制!H61,NOW())</f>
        <v>43199.857517476848</v>
      </c>
      <c r="T63" s="11">
        <f ca="1">IF($B63&lt;&gt;0,复制!I61,NOW())</f>
        <v>43199.857517476848</v>
      </c>
      <c r="U63" s="11">
        <f ca="1">IF($B63&lt;&gt;0,复制!J61,NOW())</f>
        <v>43199.857517476848</v>
      </c>
      <c r="V63" s="6">
        <f t="shared" ca="1" si="1"/>
        <v>0</v>
      </c>
    </row>
    <row r="64" spans="1:22" x14ac:dyDescent="0.15">
      <c r="A64" s="6" t="s">
        <v>5</v>
      </c>
      <c r="B64" s="6">
        <f>复制!A62</f>
        <v>0</v>
      </c>
      <c r="C64" s="6" t="s">
        <v>7</v>
      </c>
      <c r="D64" s="6">
        <f>复制!B62</f>
        <v>0</v>
      </c>
      <c r="E64" s="6" t="s">
        <v>8</v>
      </c>
      <c r="F64" s="6">
        <f>复制!C62</f>
        <v>0</v>
      </c>
      <c r="G64" s="6" t="s">
        <v>9</v>
      </c>
      <c r="H64" s="6">
        <f>复制!D62</f>
        <v>0</v>
      </c>
      <c r="I64" s="6" t="s">
        <v>6</v>
      </c>
      <c r="J64" s="6">
        <f>复制!E62</f>
        <v>0</v>
      </c>
      <c r="K64" s="6" t="s">
        <v>6</v>
      </c>
      <c r="L64" s="6">
        <f>复制!F62</f>
        <v>0</v>
      </c>
      <c r="M64" s="6" t="s">
        <v>6</v>
      </c>
      <c r="N64" s="6">
        <f>复制!G62</f>
        <v>0</v>
      </c>
      <c r="O64" s="6" t="s">
        <v>6</v>
      </c>
      <c r="P64" s="18">
        <f t="shared" si="0"/>
        <v>0</v>
      </c>
      <c r="Q64" s="8" t="s">
        <v>6</v>
      </c>
      <c r="S64" s="11">
        <f ca="1">IF($B64&lt;&gt;0,复制!H62,NOW())</f>
        <v>43199.857517476848</v>
      </c>
      <c r="T64" s="11">
        <f ca="1">IF($B64&lt;&gt;0,复制!I62,NOW())</f>
        <v>43199.857517476848</v>
      </c>
      <c r="U64" s="11">
        <f ca="1">IF($B64&lt;&gt;0,复制!J62,NOW())</f>
        <v>43199.857517476848</v>
      </c>
      <c r="V64" s="6">
        <f t="shared" ca="1" si="1"/>
        <v>0</v>
      </c>
    </row>
    <row r="65" spans="1:22" x14ac:dyDescent="0.15">
      <c r="A65" s="6" t="s">
        <v>5</v>
      </c>
      <c r="B65" s="6">
        <f>复制!A63</f>
        <v>0</v>
      </c>
      <c r="C65" s="6" t="s">
        <v>7</v>
      </c>
      <c r="D65" s="6">
        <f>复制!B63</f>
        <v>0</v>
      </c>
      <c r="E65" s="6" t="s">
        <v>8</v>
      </c>
      <c r="F65" s="6">
        <f>复制!C63</f>
        <v>0</v>
      </c>
      <c r="G65" s="6" t="s">
        <v>9</v>
      </c>
      <c r="H65" s="6">
        <f>复制!D63</f>
        <v>0</v>
      </c>
      <c r="I65" s="6" t="s">
        <v>6</v>
      </c>
      <c r="J65" s="6">
        <f>复制!E63</f>
        <v>0</v>
      </c>
      <c r="K65" s="6" t="s">
        <v>6</v>
      </c>
      <c r="L65" s="6">
        <f>复制!F63</f>
        <v>0</v>
      </c>
      <c r="M65" s="6" t="s">
        <v>6</v>
      </c>
      <c r="N65" s="6">
        <f>复制!G63</f>
        <v>0</v>
      </c>
      <c r="O65" s="6" t="s">
        <v>6</v>
      </c>
      <c r="P65" s="18">
        <f t="shared" si="0"/>
        <v>0</v>
      </c>
      <c r="Q65" s="8" t="s">
        <v>6</v>
      </c>
      <c r="S65" s="11">
        <f ca="1">IF($B65&lt;&gt;0,复制!H63,NOW())</f>
        <v>43199.857517476848</v>
      </c>
      <c r="T65" s="11">
        <f ca="1">IF($B65&lt;&gt;0,复制!I63,NOW())</f>
        <v>43199.857517476848</v>
      </c>
      <c r="U65" s="11">
        <f ca="1">IF($B65&lt;&gt;0,复制!J63,NOW())</f>
        <v>43199.857517476848</v>
      </c>
      <c r="V65" s="6">
        <f t="shared" ca="1" si="1"/>
        <v>0</v>
      </c>
    </row>
    <row r="66" spans="1:22" x14ac:dyDescent="0.15">
      <c r="A66" s="6" t="s">
        <v>5</v>
      </c>
      <c r="B66" s="6">
        <f>复制!A64</f>
        <v>0</v>
      </c>
      <c r="C66" s="6" t="s">
        <v>7</v>
      </c>
      <c r="D66" s="6">
        <f>复制!B64</f>
        <v>0</v>
      </c>
      <c r="E66" s="6" t="s">
        <v>8</v>
      </c>
      <c r="F66" s="6">
        <f>复制!C64</f>
        <v>0</v>
      </c>
      <c r="G66" s="6" t="s">
        <v>9</v>
      </c>
      <c r="H66" s="6">
        <f>复制!D64</f>
        <v>0</v>
      </c>
      <c r="I66" s="6" t="s">
        <v>6</v>
      </c>
      <c r="J66" s="6">
        <f>复制!E64</f>
        <v>0</v>
      </c>
      <c r="K66" s="6" t="s">
        <v>6</v>
      </c>
      <c r="L66" s="6">
        <f>复制!F64</f>
        <v>0</v>
      </c>
      <c r="M66" s="6" t="s">
        <v>6</v>
      </c>
      <c r="N66" s="6">
        <f>复制!G64</f>
        <v>0</v>
      </c>
      <c r="O66" s="6" t="s">
        <v>6</v>
      </c>
      <c r="P66" s="18">
        <f t="shared" si="0"/>
        <v>0</v>
      </c>
      <c r="Q66" s="8" t="s">
        <v>6</v>
      </c>
      <c r="S66" s="11">
        <f ca="1">IF($B66&lt;&gt;0,复制!H64,NOW())</f>
        <v>43199.857517476848</v>
      </c>
      <c r="T66" s="11">
        <f ca="1">IF($B66&lt;&gt;0,复制!I64,NOW())</f>
        <v>43199.857517476848</v>
      </c>
      <c r="U66" s="11">
        <f ca="1">IF($B66&lt;&gt;0,复制!J64,NOW())</f>
        <v>43199.857517476848</v>
      </c>
      <c r="V66" s="6">
        <f t="shared" ca="1" si="1"/>
        <v>0</v>
      </c>
    </row>
    <row r="67" spans="1:22" x14ac:dyDescent="0.15">
      <c r="A67" s="6" t="s">
        <v>5</v>
      </c>
      <c r="B67" s="6">
        <f>复制!A65</f>
        <v>0</v>
      </c>
      <c r="C67" s="6" t="s">
        <v>7</v>
      </c>
      <c r="D67" s="6">
        <f>复制!B65</f>
        <v>0</v>
      </c>
      <c r="E67" s="6" t="s">
        <v>8</v>
      </c>
      <c r="F67" s="6">
        <f>复制!C65</f>
        <v>0</v>
      </c>
      <c r="G67" s="6" t="s">
        <v>9</v>
      </c>
      <c r="H67" s="6">
        <f>复制!D65</f>
        <v>0</v>
      </c>
      <c r="I67" s="6" t="s">
        <v>6</v>
      </c>
      <c r="J67" s="6">
        <f>复制!E65</f>
        <v>0</v>
      </c>
      <c r="K67" s="6" t="s">
        <v>6</v>
      </c>
      <c r="L67" s="6">
        <f>复制!F65</f>
        <v>0</v>
      </c>
      <c r="M67" s="6" t="s">
        <v>6</v>
      </c>
      <c r="N67" s="6">
        <f>复制!G65</f>
        <v>0</v>
      </c>
      <c r="O67" s="6" t="s">
        <v>6</v>
      </c>
      <c r="P67" s="18">
        <f t="shared" ref="P67:P102" si="2">IF(B67&lt;&gt;0,(J67+L67)/N67,0)</f>
        <v>0</v>
      </c>
      <c r="Q67" s="8" t="s">
        <v>6</v>
      </c>
      <c r="S67" s="11">
        <f ca="1">IF($B67&lt;&gt;0,复制!H65,NOW())</f>
        <v>43199.857517476848</v>
      </c>
      <c r="T67" s="11">
        <f ca="1">IF($B67&lt;&gt;0,复制!I65,NOW())</f>
        <v>43199.857517476848</v>
      </c>
      <c r="U67" s="11">
        <f ca="1">IF($B67&lt;&gt;0,复制!J65,NOW())</f>
        <v>43199.857517476848</v>
      </c>
      <c r="V67" s="6">
        <f t="shared" ref="V67:V102" ca="1" si="3">IF(AND(T67&gt;=(U67-61),D67&lt;&gt;0),1,0)</f>
        <v>0</v>
      </c>
    </row>
    <row r="68" spans="1:22" x14ac:dyDescent="0.15">
      <c r="A68" s="6" t="s">
        <v>5</v>
      </c>
      <c r="B68" s="6">
        <f>复制!A66</f>
        <v>0</v>
      </c>
      <c r="C68" s="6" t="s">
        <v>7</v>
      </c>
      <c r="D68" s="6">
        <f>复制!B66</f>
        <v>0</v>
      </c>
      <c r="E68" s="6" t="s">
        <v>8</v>
      </c>
      <c r="F68" s="6">
        <f>复制!C66</f>
        <v>0</v>
      </c>
      <c r="G68" s="6" t="s">
        <v>9</v>
      </c>
      <c r="H68" s="6">
        <f>复制!D66</f>
        <v>0</v>
      </c>
      <c r="I68" s="6" t="s">
        <v>6</v>
      </c>
      <c r="J68" s="6">
        <f>复制!E66</f>
        <v>0</v>
      </c>
      <c r="K68" s="6" t="s">
        <v>6</v>
      </c>
      <c r="L68" s="6">
        <f>复制!F66</f>
        <v>0</v>
      </c>
      <c r="M68" s="6" t="s">
        <v>6</v>
      </c>
      <c r="N68" s="6">
        <f>复制!G66</f>
        <v>0</v>
      </c>
      <c r="O68" s="6" t="s">
        <v>6</v>
      </c>
      <c r="P68" s="18">
        <f t="shared" si="2"/>
        <v>0</v>
      </c>
      <c r="Q68" s="8" t="s">
        <v>6</v>
      </c>
      <c r="S68" s="11">
        <f ca="1">IF($B68&lt;&gt;0,复制!H66,NOW())</f>
        <v>43199.857517476848</v>
      </c>
      <c r="T68" s="11">
        <f ca="1">IF($B68&lt;&gt;0,复制!I66,NOW())</f>
        <v>43199.857517476848</v>
      </c>
      <c r="U68" s="11">
        <f ca="1">IF($B68&lt;&gt;0,复制!J66,NOW())</f>
        <v>43199.857517476848</v>
      </c>
      <c r="V68" s="6">
        <f t="shared" ca="1" si="3"/>
        <v>0</v>
      </c>
    </row>
    <row r="69" spans="1:22" x14ac:dyDescent="0.15">
      <c r="A69" s="6" t="s">
        <v>5</v>
      </c>
      <c r="B69" s="6">
        <f>复制!A67</f>
        <v>0</v>
      </c>
      <c r="C69" s="6" t="s">
        <v>7</v>
      </c>
      <c r="D69" s="6">
        <f>复制!B67</f>
        <v>0</v>
      </c>
      <c r="E69" s="6" t="s">
        <v>8</v>
      </c>
      <c r="F69" s="6">
        <f>复制!C67</f>
        <v>0</v>
      </c>
      <c r="G69" s="6" t="s">
        <v>9</v>
      </c>
      <c r="H69" s="6">
        <f>复制!D67</f>
        <v>0</v>
      </c>
      <c r="I69" s="6" t="s">
        <v>6</v>
      </c>
      <c r="J69" s="6">
        <f>复制!E67</f>
        <v>0</v>
      </c>
      <c r="K69" s="6" t="s">
        <v>6</v>
      </c>
      <c r="L69" s="6">
        <f>复制!F67</f>
        <v>0</v>
      </c>
      <c r="M69" s="6" t="s">
        <v>6</v>
      </c>
      <c r="N69" s="6">
        <f>复制!G67</f>
        <v>0</v>
      </c>
      <c r="O69" s="6" t="s">
        <v>6</v>
      </c>
      <c r="P69" s="18">
        <f t="shared" si="2"/>
        <v>0</v>
      </c>
      <c r="Q69" s="8" t="s">
        <v>6</v>
      </c>
      <c r="S69" s="11">
        <f ca="1">IF($B69&lt;&gt;0,复制!H67,NOW())</f>
        <v>43199.857517476848</v>
      </c>
      <c r="T69" s="11">
        <f ca="1">IF($B69&lt;&gt;0,复制!I67,NOW())</f>
        <v>43199.857517476848</v>
      </c>
      <c r="U69" s="11">
        <f ca="1">IF($B69&lt;&gt;0,复制!J67,NOW())</f>
        <v>43199.857517476848</v>
      </c>
      <c r="V69" s="6">
        <f t="shared" ca="1" si="3"/>
        <v>0</v>
      </c>
    </row>
    <row r="70" spans="1:22" x14ac:dyDescent="0.15">
      <c r="A70" s="6" t="s">
        <v>5</v>
      </c>
      <c r="B70" s="6">
        <f>复制!A68</f>
        <v>0</v>
      </c>
      <c r="C70" s="6" t="s">
        <v>7</v>
      </c>
      <c r="D70" s="6">
        <f>复制!B68</f>
        <v>0</v>
      </c>
      <c r="E70" s="6" t="s">
        <v>8</v>
      </c>
      <c r="F70" s="6">
        <f>复制!C68</f>
        <v>0</v>
      </c>
      <c r="G70" s="6" t="s">
        <v>9</v>
      </c>
      <c r="H70" s="6">
        <f>复制!D68</f>
        <v>0</v>
      </c>
      <c r="I70" s="6" t="s">
        <v>6</v>
      </c>
      <c r="J70" s="6">
        <f>复制!E68</f>
        <v>0</v>
      </c>
      <c r="K70" s="6" t="s">
        <v>6</v>
      </c>
      <c r="L70" s="6">
        <f>复制!F68</f>
        <v>0</v>
      </c>
      <c r="M70" s="6" t="s">
        <v>6</v>
      </c>
      <c r="N70" s="6">
        <f>复制!G68</f>
        <v>0</v>
      </c>
      <c r="O70" s="6" t="s">
        <v>6</v>
      </c>
      <c r="P70" s="18">
        <f t="shared" si="2"/>
        <v>0</v>
      </c>
      <c r="Q70" s="8" t="s">
        <v>6</v>
      </c>
      <c r="S70" s="11">
        <f ca="1">IF($B70&lt;&gt;0,复制!H68,NOW())</f>
        <v>43199.857517476848</v>
      </c>
      <c r="T70" s="11">
        <f ca="1">IF($B70&lt;&gt;0,复制!I68,NOW())</f>
        <v>43199.857517476848</v>
      </c>
      <c r="U70" s="11">
        <f ca="1">IF($B70&lt;&gt;0,复制!J68,NOW())</f>
        <v>43199.857517476848</v>
      </c>
      <c r="V70" s="6">
        <f t="shared" ca="1" si="3"/>
        <v>0</v>
      </c>
    </row>
    <row r="71" spans="1:22" x14ac:dyDescent="0.15">
      <c r="A71" s="6" t="s">
        <v>5</v>
      </c>
      <c r="B71" s="6">
        <f>复制!A69</f>
        <v>0</v>
      </c>
      <c r="C71" s="6" t="s">
        <v>7</v>
      </c>
      <c r="D71" s="6">
        <f>复制!B69</f>
        <v>0</v>
      </c>
      <c r="E71" s="6" t="s">
        <v>8</v>
      </c>
      <c r="F71" s="6">
        <f>复制!C69</f>
        <v>0</v>
      </c>
      <c r="G71" s="6" t="s">
        <v>9</v>
      </c>
      <c r="H71" s="6">
        <f>复制!D69</f>
        <v>0</v>
      </c>
      <c r="I71" s="6" t="s">
        <v>6</v>
      </c>
      <c r="J71" s="6">
        <f>复制!E69</f>
        <v>0</v>
      </c>
      <c r="K71" s="6" t="s">
        <v>6</v>
      </c>
      <c r="L71" s="6">
        <f>复制!F69</f>
        <v>0</v>
      </c>
      <c r="M71" s="6" t="s">
        <v>6</v>
      </c>
      <c r="N71" s="6">
        <f>复制!G69</f>
        <v>0</v>
      </c>
      <c r="O71" s="6" t="s">
        <v>6</v>
      </c>
      <c r="P71" s="18">
        <f t="shared" si="2"/>
        <v>0</v>
      </c>
      <c r="Q71" s="8" t="s">
        <v>6</v>
      </c>
      <c r="S71" s="11">
        <f ca="1">IF($B71&lt;&gt;0,复制!H69,NOW())</f>
        <v>43199.857517476848</v>
      </c>
      <c r="T71" s="11">
        <f ca="1">IF($B71&lt;&gt;0,复制!I69,NOW())</f>
        <v>43199.857517476848</v>
      </c>
      <c r="U71" s="11">
        <f ca="1">IF($B71&lt;&gt;0,复制!J69,NOW())</f>
        <v>43199.857517476848</v>
      </c>
      <c r="V71" s="6">
        <f t="shared" ca="1" si="3"/>
        <v>0</v>
      </c>
    </row>
    <row r="72" spans="1:22" x14ac:dyDescent="0.15">
      <c r="A72" s="6" t="s">
        <v>5</v>
      </c>
      <c r="B72" s="6">
        <f>复制!A70</f>
        <v>0</v>
      </c>
      <c r="C72" s="6" t="s">
        <v>7</v>
      </c>
      <c r="D72" s="6">
        <f>复制!B70</f>
        <v>0</v>
      </c>
      <c r="E72" s="6" t="s">
        <v>8</v>
      </c>
      <c r="F72" s="6">
        <f>复制!C70</f>
        <v>0</v>
      </c>
      <c r="G72" s="6" t="s">
        <v>9</v>
      </c>
      <c r="H72" s="6">
        <f>复制!D70</f>
        <v>0</v>
      </c>
      <c r="I72" s="6" t="s">
        <v>6</v>
      </c>
      <c r="J72" s="6">
        <f>复制!E70</f>
        <v>0</v>
      </c>
      <c r="K72" s="6" t="s">
        <v>6</v>
      </c>
      <c r="L72" s="6">
        <f>复制!F70</f>
        <v>0</v>
      </c>
      <c r="M72" s="6" t="s">
        <v>6</v>
      </c>
      <c r="N72" s="6">
        <f>复制!G70</f>
        <v>0</v>
      </c>
      <c r="O72" s="6" t="s">
        <v>6</v>
      </c>
      <c r="P72" s="18">
        <f t="shared" si="2"/>
        <v>0</v>
      </c>
      <c r="Q72" s="8" t="s">
        <v>6</v>
      </c>
      <c r="S72" s="11">
        <f ca="1">IF($B72&lt;&gt;0,复制!H70,NOW())</f>
        <v>43199.857517476848</v>
      </c>
      <c r="T72" s="11">
        <f ca="1">IF($B72&lt;&gt;0,复制!I70,NOW())</f>
        <v>43199.857517476848</v>
      </c>
      <c r="U72" s="11">
        <f ca="1">IF($B72&lt;&gt;0,复制!J70,NOW())</f>
        <v>43199.857517476848</v>
      </c>
      <c r="V72" s="6">
        <f t="shared" ca="1" si="3"/>
        <v>0</v>
      </c>
    </row>
    <row r="73" spans="1:22" x14ac:dyDescent="0.15">
      <c r="A73" s="6" t="s">
        <v>5</v>
      </c>
      <c r="B73" s="6">
        <f>复制!A71</f>
        <v>0</v>
      </c>
      <c r="C73" s="6" t="s">
        <v>7</v>
      </c>
      <c r="D73" s="6">
        <f>复制!B71</f>
        <v>0</v>
      </c>
      <c r="E73" s="6" t="s">
        <v>8</v>
      </c>
      <c r="F73" s="6">
        <f>复制!C71</f>
        <v>0</v>
      </c>
      <c r="G73" s="6" t="s">
        <v>9</v>
      </c>
      <c r="H73" s="6">
        <f>复制!D71</f>
        <v>0</v>
      </c>
      <c r="I73" s="6" t="s">
        <v>6</v>
      </c>
      <c r="J73" s="6">
        <f>复制!E71</f>
        <v>0</v>
      </c>
      <c r="K73" s="6" t="s">
        <v>6</v>
      </c>
      <c r="L73" s="6">
        <f>复制!F71</f>
        <v>0</v>
      </c>
      <c r="M73" s="6" t="s">
        <v>6</v>
      </c>
      <c r="N73" s="6">
        <f>复制!G71</f>
        <v>0</v>
      </c>
      <c r="O73" s="6" t="s">
        <v>6</v>
      </c>
      <c r="P73" s="18">
        <f t="shared" si="2"/>
        <v>0</v>
      </c>
      <c r="Q73" s="8" t="s">
        <v>6</v>
      </c>
      <c r="S73" s="11">
        <f ca="1">IF($B73&lt;&gt;0,复制!H71,NOW())</f>
        <v>43199.857517476848</v>
      </c>
      <c r="T73" s="11">
        <f ca="1">IF($B73&lt;&gt;0,复制!I71,NOW())</f>
        <v>43199.857517476848</v>
      </c>
      <c r="U73" s="11">
        <f ca="1">IF($B73&lt;&gt;0,复制!J71,NOW())</f>
        <v>43199.857517476848</v>
      </c>
      <c r="V73" s="6">
        <f t="shared" ca="1" si="3"/>
        <v>0</v>
      </c>
    </row>
    <row r="74" spans="1:22" x14ac:dyDescent="0.15">
      <c r="A74" s="6" t="s">
        <v>5</v>
      </c>
      <c r="B74" s="6">
        <f>复制!A72</f>
        <v>0</v>
      </c>
      <c r="C74" s="6" t="s">
        <v>7</v>
      </c>
      <c r="D74" s="6">
        <f>复制!B72</f>
        <v>0</v>
      </c>
      <c r="E74" s="6" t="s">
        <v>8</v>
      </c>
      <c r="F74" s="6">
        <f>复制!C72</f>
        <v>0</v>
      </c>
      <c r="G74" s="6" t="s">
        <v>9</v>
      </c>
      <c r="H74" s="6">
        <f>复制!D72</f>
        <v>0</v>
      </c>
      <c r="I74" s="6" t="s">
        <v>6</v>
      </c>
      <c r="J74" s="6">
        <f>复制!E72</f>
        <v>0</v>
      </c>
      <c r="K74" s="6" t="s">
        <v>6</v>
      </c>
      <c r="L74" s="6">
        <f>复制!F72</f>
        <v>0</v>
      </c>
      <c r="M74" s="6" t="s">
        <v>6</v>
      </c>
      <c r="N74" s="6">
        <f>复制!G72</f>
        <v>0</v>
      </c>
      <c r="O74" s="6" t="s">
        <v>6</v>
      </c>
      <c r="P74" s="18">
        <f t="shared" si="2"/>
        <v>0</v>
      </c>
      <c r="Q74" s="8" t="s">
        <v>6</v>
      </c>
      <c r="S74" s="11">
        <f ca="1">IF($B74&lt;&gt;0,复制!H72,NOW())</f>
        <v>43199.857517476848</v>
      </c>
      <c r="T74" s="11">
        <f ca="1">IF($B74&lt;&gt;0,复制!I72,NOW())</f>
        <v>43199.857517476848</v>
      </c>
      <c r="U74" s="11">
        <f ca="1">IF($B74&lt;&gt;0,复制!J72,NOW())</f>
        <v>43199.857517476848</v>
      </c>
      <c r="V74" s="6">
        <f t="shared" ca="1" si="3"/>
        <v>0</v>
      </c>
    </row>
    <row r="75" spans="1:22" x14ac:dyDescent="0.15">
      <c r="A75" s="6" t="s">
        <v>5</v>
      </c>
      <c r="B75" s="6">
        <f>复制!A73</f>
        <v>0</v>
      </c>
      <c r="C75" s="6" t="s">
        <v>7</v>
      </c>
      <c r="D75" s="6">
        <f>复制!B73</f>
        <v>0</v>
      </c>
      <c r="E75" s="6" t="s">
        <v>8</v>
      </c>
      <c r="F75" s="6">
        <f>复制!C73</f>
        <v>0</v>
      </c>
      <c r="G75" s="6" t="s">
        <v>9</v>
      </c>
      <c r="H75" s="6">
        <f>复制!D73</f>
        <v>0</v>
      </c>
      <c r="I75" s="6" t="s">
        <v>6</v>
      </c>
      <c r="J75" s="6">
        <f>复制!E73</f>
        <v>0</v>
      </c>
      <c r="K75" s="6" t="s">
        <v>6</v>
      </c>
      <c r="L75" s="6">
        <f>复制!F73</f>
        <v>0</v>
      </c>
      <c r="M75" s="6" t="s">
        <v>6</v>
      </c>
      <c r="N75" s="6">
        <f>复制!G73</f>
        <v>0</v>
      </c>
      <c r="O75" s="6" t="s">
        <v>6</v>
      </c>
      <c r="P75" s="18">
        <f t="shared" si="2"/>
        <v>0</v>
      </c>
      <c r="Q75" s="8" t="s">
        <v>6</v>
      </c>
      <c r="S75" s="11">
        <f ca="1">IF($B75&lt;&gt;0,复制!H73,NOW())</f>
        <v>43199.857517476848</v>
      </c>
      <c r="T75" s="11">
        <f ca="1">IF($B75&lt;&gt;0,复制!I73,NOW())</f>
        <v>43199.857517476848</v>
      </c>
      <c r="U75" s="11">
        <f ca="1">IF($B75&lt;&gt;0,复制!J73,NOW())</f>
        <v>43199.857517476848</v>
      </c>
      <c r="V75" s="6">
        <f t="shared" ca="1" si="3"/>
        <v>0</v>
      </c>
    </row>
    <row r="76" spans="1:22" x14ac:dyDescent="0.15">
      <c r="A76" s="6" t="s">
        <v>5</v>
      </c>
      <c r="B76" s="6">
        <f>复制!A74</f>
        <v>0</v>
      </c>
      <c r="C76" s="6" t="s">
        <v>7</v>
      </c>
      <c r="D76" s="6">
        <f>复制!B74</f>
        <v>0</v>
      </c>
      <c r="E76" s="6" t="s">
        <v>8</v>
      </c>
      <c r="F76" s="6">
        <f>复制!C74</f>
        <v>0</v>
      </c>
      <c r="G76" s="6" t="s">
        <v>9</v>
      </c>
      <c r="H76" s="6">
        <f>复制!D74</f>
        <v>0</v>
      </c>
      <c r="I76" s="6" t="s">
        <v>6</v>
      </c>
      <c r="J76" s="6">
        <f>复制!E74</f>
        <v>0</v>
      </c>
      <c r="K76" s="6" t="s">
        <v>6</v>
      </c>
      <c r="L76" s="6">
        <f>复制!F74</f>
        <v>0</v>
      </c>
      <c r="M76" s="6" t="s">
        <v>6</v>
      </c>
      <c r="N76" s="6">
        <f>复制!G74</f>
        <v>0</v>
      </c>
      <c r="O76" s="6" t="s">
        <v>6</v>
      </c>
      <c r="P76" s="18">
        <f t="shared" si="2"/>
        <v>0</v>
      </c>
      <c r="Q76" s="8" t="s">
        <v>6</v>
      </c>
      <c r="S76" s="11">
        <f ca="1">IF($B76&lt;&gt;0,复制!H74,NOW())</f>
        <v>43199.857517476848</v>
      </c>
      <c r="T76" s="11">
        <f ca="1">IF($B76&lt;&gt;0,复制!I74,NOW())</f>
        <v>43199.857517476848</v>
      </c>
      <c r="U76" s="11">
        <f ca="1">IF($B76&lt;&gt;0,复制!J74,NOW())</f>
        <v>43199.857517476848</v>
      </c>
      <c r="V76" s="6">
        <f t="shared" ca="1" si="3"/>
        <v>0</v>
      </c>
    </row>
    <row r="77" spans="1:22" x14ac:dyDescent="0.15">
      <c r="A77" s="6" t="s">
        <v>5</v>
      </c>
      <c r="B77" s="6">
        <f>复制!A75</f>
        <v>0</v>
      </c>
      <c r="C77" s="6" t="s">
        <v>7</v>
      </c>
      <c r="D77" s="6">
        <f>复制!B75</f>
        <v>0</v>
      </c>
      <c r="E77" s="6" t="s">
        <v>8</v>
      </c>
      <c r="F77" s="6">
        <f>复制!C75</f>
        <v>0</v>
      </c>
      <c r="G77" s="6" t="s">
        <v>9</v>
      </c>
      <c r="H77" s="6">
        <f>复制!D75</f>
        <v>0</v>
      </c>
      <c r="I77" s="6" t="s">
        <v>6</v>
      </c>
      <c r="J77" s="6">
        <f>复制!E75</f>
        <v>0</v>
      </c>
      <c r="K77" s="6" t="s">
        <v>6</v>
      </c>
      <c r="L77" s="6">
        <f>复制!F75</f>
        <v>0</v>
      </c>
      <c r="M77" s="6" t="s">
        <v>6</v>
      </c>
      <c r="N77" s="6">
        <f>复制!G75</f>
        <v>0</v>
      </c>
      <c r="O77" s="6" t="s">
        <v>6</v>
      </c>
      <c r="P77" s="18">
        <f t="shared" si="2"/>
        <v>0</v>
      </c>
      <c r="Q77" s="8" t="s">
        <v>6</v>
      </c>
      <c r="S77" s="11">
        <f ca="1">IF($B77&lt;&gt;0,复制!H75,NOW())</f>
        <v>43199.857517476848</v>
      </c>
      <c r="T77" s="11">
        <f ca="1">IF($B77&lt;&gt;0,复制!I75,NOW())</f>
        <v>43199.857517476848</v>
      </c>
      <c r="U77" s="11">
        <f ca="1">IF($B77&lt;&gt;0,复制!J75,NOW())</f>
        <v>43199.857517476848</v>
      </c>
      <c r="V77" s="6">
        <f t="shared" ca="1" si="3"/>
        <v>0</v>
      </c>
    </row>
    <row r="78" spans="1:22" x14ac:dyDescent="0.15">
      <c r="A78" s="6" t="s">
        <v>5</v>
      </c>
      <c r="B78" s="6">
        <f>复制!A76</f>
        <v>0</v>
      </c>
      <c r="C78" s="6" t="s">
        <v>7</v>
      </c>
      <c r="D78" s="6">
        <f>复制!B76</f>
        <v>0</v>
      </c>
      <c r="E78" s="6" t="s">
        <v>8</v>
      </c>
      <c r="F78" s="6">
        <f>复制!C76</f>
        <v>0</v>
      </c>
      <c r="G78" s="6" t="s">
        <v>9</v>
      </c>
      <c r="H78" s="6">
        <f>复制!D76</f>
        <v>0</v>
      </c>
      <c r="I78" s="6" t="s">
        <v>6</v>
      </c>
      <c r="J78" s="6">
        <f>复制!E76</f>
        <v>0</v>
      </c>
      <c r="K78" s="6" t="s">
        <v>6</v>
      </c>
      <c r="L78" s="6">
        <f>复制!F76</f>
        <v>0</v>
      </c>
      <c r="M78" s="6" t="s">
        <v>6</v>
      </c>
      <c r="N78" s="6">
        <f>复制!G76</f>
        <v>0</v>
      </c>
      <c r="O78" s="6" t="s">
        <v>6</v>
      </c>
      <c r="P78" s="18">
        <f t="shared" si="2"/>
        <v>0</v>
      </c>
      <c r="Q78" s="8" t="s">
        <v>6</v>
      </c>
      <c r="S78" s="11">
        <f ca="1">IF($B78&lt;&gt;0,复制!H76,NOW())</f>
        <v>43199.857517476848</v>
      </c>
      <c r="T78" s="11">
        <f ca="1">IF($B78&lt;&gt;0,复制!I76,NOW())</f>
        <v>43199.857517476848</v>
      </c>
      <c r="U78" s="11">
        <f ca="1">IF($B78&lt;&gt;0,复制!J76,NOW())</f>
        <v>43199.857517476848</v>
      </c>
      <c r="V78" s="6">
        <f t="shared" ca="1" si="3"/>
        <v>0</v>
      </c>
    </row>
    <row r="79" spans="1:22" x14ac:dyDescent="0.15">
      <c r="A79" s="6" t="s">
        <v>5</v>
      </c>
      <c r="B79" s="6">
        <f>复制!A77</f>
        <v>0</v>
      </c>
      <c r="C79" s="6" t="s">
        <v>7</v>
      </c>
      <c r="D79" s="6">
        <f>复制!B77</f>
        <v>0</v>
      </c>
      <c r="E79" s="6" t="s">
        <v>8</v>
      </c>
      <c r="F79" s="6">
        <f>复制!C77</f>
        <v>0</v>
      </c>
      <c r="G79" s="6" t="s">
        <v>9</v>
      </c>
      <c r="H79" s="6">
        <f>复制!D77</f>
        <v>0</v>
      </c>
      <c r="I79" s="6" t="s">
        <v>6</v>
      </c>
      <c r="J79" s="6">
        <f>复制!E77</f>
        <v>0</v>
      </c>
      <c r="K79" s="6" t="s">
        <v>6</v>
      </c>
      <c r="L79" s="6">
        <f>复制!F77</f>
        <v>0</v>
      </c>
      <c r="M79" s="6" t="s">
        <v>6</v>
      </c>
      <c r="N79" s="6">
        <f>复制!G77</f>
        <v>0</v>
      </c>
      <c r="O79" s="6" t="s">
        <v>6</v>
      </c>
      <c r="P79" s="18">
        <f t="shared" si="2"/>
        <v>0</v>
      </c>
      <c r="Q79" s="8" t="s">
        <v>6</v>
      </c>
      <c r="S79" s="11">
        <f ca="1">IF($B79&lt;&gt;0,复制!H77,NOW())</f>
        <v>43199.857517476848</v>
      </c>
      <c r="T79" s="11">
        <f ca="1">IF($B79&lt;&gt;0,复制!I77,NOW())</f>
        <v>43199.857517476848</v>
      </c>
      <c r="U79" s="11">
        <f ca="1">IF($B79&lt;&gt;0,复制!J77,NOW())</f>
        <v>43199.857517476848</v>
      </c>
      <c r="V79" s="6">
        <f t="shared" ca="1" si="3"/>
        <v>0</v>
      </c>
    </row>
    <row r="80" spans="1:22" x14ac:dyDescent="0.15">
      <c r="A80" s="6" t="s">
        <v>5</v>
      </c>
      <c r="B80" s="6">
        <f>复制!A78</f>
        <v>0</v>
      </c>
      <c r="C80" s="6" t="s">
        <v>7</v>
      </c>
      <c r="D80" s="6">
        <f>复制!B78</f>
        <v>0</v>
      </c>
      <c r="E80" s="6" t="s">
        <v>8</v>
      </c>
      <c r="F80" s="6">
        <f>复制!C78</f>
        <v>0</v>
      </c>
      <c r="G80" s="6" t="s">
        <v>9</v>
      </c>
      <c r="H80" s="6">
        <f>复制!D78</f>
        <v>0</v>
      </c>
      <c r="I80" s="6" t="s">
        <v>6</v>
      </c>
      <c r="J80" s="6">
        <f>复制!E78</f>
        <v>0</v>
      </c>
      <c r="K80" s="6" t="s">
        <v>6</v>
      </c>
      <c r="L80" s="6">
        <f>复制!F78</f>
        <v>0</v>
      </c>
      <c r="M80" s="6" t="s">
        <v>6</v>
      </c>
      <c r="N80" s="6">
        <f>复制!G78</f>
        <v>0</v>
      </c>
      <c r="O80" s="6" t="s">
        <v>6</v>
      </c>
      <c r="P80" s="18">
        <f t="shared" si="2"/>
        <v>0</v>
      </c>
      <c r="Q80" s="8" t="s">
        <v>6</v>
      </c>
      <c r="S80" s="11">
        <f ca="1">IF($B80&lt;&gt;0,复制!H78,NOW())</f>
        <v>43199.857517476848</v>
      </c>
      <c r="T80" s="11">
        <f ca="1">IF($B80&lt;&gt;0,复制!I78,NOW())</f>
        <v>43199.857517476848</v>
      </c>
      <c r="U80" s="11">
        <f ca="1">IF($B80&lt;&gt;0,复制!J78,NOW())</f>
        <v>43199.857517476848</v>
      </c>
      <c r="V80" s="6">
        <f t="shared" ca="1" si="3"/>
        <v>0</v>
      </c>
    </row>
    <row r="81" spans="1:22" x14ac:dyDescent="0.15">
      <c r="A81" s="6" t="s">
        <v>5</v>
      </c>
      <c r="B81" s="6">
        <f>复制!A79</f>
        <v>0</v>
      </c>
      <c r="C81" s="6" t="s">
        <v>7</v>
      </c>
      <c r="D81" s="6">
        <f>复制!B79</f>
        <v>0</v>
      </c>
      <c r="E81" s="6" t="s">
        <v>8</v>
      </c>
      <c r="F81" s="6">
        <f>复制!C79</f>
        <v>0</v>
      </c>
      <c r="G81" s="6" t="s">
        <v>9</v>
      </c>
      <c r="H81" s="6">
        <f>复制!D79</f>
        <v>0</v>
      </c>
      <c r="I81" s="6" t="s">
        <v>6</v>
      </c>
      <c r="J81" s="6">
        <f>复制!E79</f>
        <v>0</v>
      </c>
      <c r="K81" s="6" t="s">
        <v>6</v>
      </c>
      <c r="L81" s="6">
        <f>复制!F79</f>
        <v>0</v>
      </c>
      <c r="M81" s="6" t="s">
        <v>6</v>
      </c>
      <c r="N81" s="6">
        <f>复制!G79</f>
        <v>0</v>
      </c>
      <c r="O81" s="6" t="s">
        <v>6</v>
      </c>
      <c r="P81" s="18">
        <f t="shared" si="2"/>
        <v>0</v>
      </c>
      <c r="Q81" s="8" t="s">
        <v>6</v>
      </c>
      <c r="S81" s="11">
        <f ca="1">IF($B81&lt;&gt;0,复制!H79,NOW())</f>
        <v>43199.857517476848</v>
      </c>
      <c r="T81" s="11">
        <f ca="1">IF($B81&lt;&gt;0,复制!I79,NOW())</f>
        <v>43199.857517476848</v>
      </c>
      <c r="U81" s="11">
        <f ca="1">IF($B81&lt;&gt;0,复制!J79,NOW())</f>
        <v>43199.857517476848</v>
      </c>
      <c r="V81" s="6">
        <f t="shared" ca="1" si="3"/>
        <v>0</v>
      </c>
    </row>
    <row r="82" spans="1:22" x14ac:dyDescent="0.15">
      <c r="A82" s="6" t="s">
        <v>5</v>
      </c>
      <c r="B82" s="6">
        <f>复制!A80</f>
        <v>0</v>
      </c>
      <c r="C82" s="6" t="s">
        <v>7</v>
      </c>
      <c r="D82" s="6">
        <f>复制!B80</f>
        <v>0</v>
      </c>
      <c r="E82" s="6" t="s">
        <v>8</v>
      </c>
      <c r="F82" s="6">
        <f>复制!C80</f>
        <v>0</v>
      </c>
      <c r="G82" s="6" t="s">
        <v>9</v>
      </c>
      <c r="H82" s="6">
        <f>复制!D80</f>
        <v>0</v>
      </c>
      <c r="I82" s="6" t="s">
        <v>6</v>
      </c>
      <c r="J82" s="6">
        <f>复制!E80</f>
        <v>0</v>
      </c>
      <c r="K82" s="6" t="s">
        <v>6</v>
      </c>
      <c r="L82" s="6">
        <f>复制!F80</f>
        <v>0</v>
      </c>
      <c r="M82" s="6" t="s">
        <v>6</v>
      </c>
      <c r="N82" s="6">
        <f>复制!G80</f>
        <v>0</v>
      </c>
      <c r="O82" s="6" t="s">
        <v>6</v>
      </c>
      <c r="P82" s="18">
        <f t="shared" si="2"/>
        <v>0</v>
      </c>
      <c r="Q82" s="8" t="s">
        <v>6</v>
      </c>
      <c r="S82" s="11">
        <f ca="1">IF($B82&lt;&gt;0,复制!H80,NOW())</f>
        <v>43199.857517476848</v>
      </c>
      <c r="T82" s="11">
        <f ca="1">IF($B82&lt;&gt;0,复制!I80,NOW())</f>
        <v>43199.857517476848</v>
      </c>
      <c r="U82" s="11">
        <f ca="1">IF($B82&lt;&gt;0,复制!J80,NOW())</f>
        <v>43199.857517476848</v>
      </c>
      <c r="V82" s="6">
        <f t="shared" ca="1" si="3"/>
        <v>0</v>
      </c>
    </row>
    <row r="83" spans="1:22" x14ac:dyDescent="0.15">
      <c r="A83" s="6" t="s">
        <v>5</v>
      </c>
      <c r="B83" s="6">
        <f>复制!A81</f>
        <v>0</v>
      </c>
      <c r="C83" s="6" t="s">
        <v>7</v>
      </c>
      <c r="D83" s="6">
        <f>复制!B81</f>
        <v>0</v>
      </c>
      <c r="E83" s="6" t="s">
        <v>8</v>
      </c>
      <c r="F83" s="6">
        <f>复制!C81</f>
        <v>0</v>
      </c>
      <c r="G83" s="6" t="s">
        <v>9</v>
      </c>
      <c r="H83" s="6">
        <f>复制!D81</f>
        <v>0</v>
      </c>
      <c r="I83" s="6" t="s">
        <v>6</v>
      </c>
      <c r="J83" s="6">
        <f>复制!E81</f>
        <v>0</v>
      </c>
      <c r="K83" s="6" t="s">
        <v>6</v>
      </c>
      <c r="L83" s="6">
        <f>复制!F81</f>
        <v>0</v>
      </c>
      <c r="M83" s="6" t="s">
        <v>6</v>
      </c>
      <c r="N83" s="6">
        <f>复制!G81</f>
        <v>0</v>
      </c>
      <c r="O83" s="6" t="s">
        <v>6</v>
      </c>
      <c r="P83" s="18">
        <f t="shared" si="2"/>
        <v>0</v>
      </c>
      <c r="Q83" s="8" t="s">
        <v>6</v>
      </c>
      <c r="S83" s="11">
        <f ca="1">IF($B83&lt;&gt;0,复制!H81,NOW())</f>
        <v>43199.857517476848</v>
      </c>
      <c r="T83" s="11">
        <f ca="1">IF($B83&lt;&gt;0,复制!I81,NOW())</f>
        <v>43199.857517476848</v>
      </c>
      <c r="U83" s="11">
        <f ca="1">IF($B83&lt;&gt;0,复制!J81,NOW())</f>
        <v>43199.857517476848</v>
      </c>
      <c r="V83" s="6">
        <f t="shared" ca="1" si="3"/>
        <v>0</v>
      </c>
    </row>
    <row r="84" spans="1:22" x14ac:dyDescent="0.15">
      <c r="A84" s="6" t="s">
        <v>5</v>
      </c>
      <c r="B84" s="6">
        <f>复制!A82</f>
        <v>0</v>
      </c>
      <c r="C84" s="6" t="s">
        <v>7</v>
      </c>
      <c r="D84" s="6">
        <f>复制!B82</f>
        <v>0</v>
      </c>
      <c r="E84" s="6" t="s">
        <v>8</v>
      </c>
      <c r="F84" s="6">
        <f>复制!C82</f>
        <v>0</v>
      </c>
      <c r="G84" s="6" t="s">
        <v>9</v>
      </c>
      <c r="H84" s="6">
        <f>复制!D82</f>
        <v>0</v>
      </c>
      <c r="I84" s="6" t="s">
        <v>6</v>
      </c>
      <c r="J84" s="6">
        <f>复制!E82</f>
        <v>0</v>
      </c>
      <c r="K84" s="6" t="s">
        <v>6</v>
      </c>
      <c r="L84" s="6">
        <f>复制!F82</f>
        <v>0</v>
      </c>
      <c r="M84" s="6" t="s">
        <v>6</v>
      </c>
      <c r="N84" s="6">
        <f>复制!G82</f>
        <v>0</v>
      </c>
      <c r="O84" s="6" t="s">
        <v>6</v>
      </c>
      <c r="P84" s="18">
        <f t="shared" si="2"/>
        <v>0</v>
      </c>
      <c r="Q84" s="8" t="s">
        <v>6</v>
      </c>
      <c r="S84" s="11">
        <f ca="1">IF($B84&lt;&gt;0,复制!H82,NOW())</f>
        <v>43199.857517476848</v>
      </c>
      <c r="T84" s="11">
        <f ca="1">IF($B84&lt;&gt;0,复制!I82,NOW())</f>
        <v>43199.857517476848</v>
      </c>
      <c r="U84" s="11">
        <f ca="1">IF($B84&lt;&gt;0,复制!J82,NOW())</f>
        <v>43199.857517476848</v>
      </c>
      <c r="V84" s="6">
        <f t="shared" ca="1" si="3"/>
        <v>0</v>
      </c>
    </row>
    <row r="85" spans="1:22" x14ac:dyDescent="0.15">
      <c r="A85" s="6" t="s">
        <v>5</v>
      </c>
      <c r="B85" s="6">
        <f>复制!A83</f>
        <v>0</v>
      </c>
      <c r="C85" s="6" t="s">
        <v>7</v>
      </c>
      <c r="D85" s="6">
        <f>复制!B83</f>
        <v>0</v>
      </c>
      <c r="E85" s="6" t="s">
        <v>8</v>
      </c>
      <c r="F85" s="6">
        <f>复制!C83</f>
        <v>0</v>
      </c>
      <c r="G85" s="6" t="s">
        <v>9</v>
      </c>
      <c r="H85" s="6">
        <f>复制!D83</f>
        <v>0</v>
      </c>
      <c r="I85" s="6" t="s">
        <v>6</v>
      </c>
      <c r="J85" s="6">
        <f>复制!E83</f>
        <v>0</v>
      </c>
      <c r="K85" s="6" t="s">
        <v>6</v>
      </c>
      <c r="L85" s="6">
        <f>复制!F83</f>
        <v>0</v>
      </c>
      <c r="M85" s="6" t="s">
        <v>6</v>
      </c>
      <c r="N85" s="6">
        <f>复制!G83</f>
        <v>0</v>
      </c>
      <c r="O85" s="6" t="s">
        <v>6</v>
      </c>
      <c r="P85" s="18">
        <f t="shared" si="2"/>
        <v>0</v>
      </c>
      <c r="Q85" s="8" t="s">
        <v>6</v>
      </c>
      <c r="S85" s="11">
        <f ca="1">IF($B85&lt;&gt;0,复制!H83,NOW())</f>
        <v>43199.857517476848</v>
      </c>
      <c r="T85" s="11">
        <f ca="1">IF($B85&lt;&gt;0,复制!I83,NOW())</f>
        <v>43199.857517476848</v>
      </c>
      <c r="U85" s="11">
        <f ca="1">IF($B85&lt;&gt;0,复制!J83,NOW())</f>
        <v>43199.857517476848</v>
      </c>
      <c r="V85" s="6">
        <f t="shared" ca="1" si="3"/>
        <v>0</v>
      </c>
    </row>
    <row r="86" spans="1:22" x14ac:dyDescent="0.15">
      <c r="A86" s="6" t="s">
        <v>5</v>
      </c>
      <c r="B86" s="6">
        <f>复制!A84</f>
        <v>0</v>
      </c>
      <c r="C86" s="6" t="s">
        <v>7</v>
      </c>
      <c r="D86" s="6">
        <f>复制!B84</f>
        <v>0</v>
      </c>
      <c r="E86" s="6" t="s">
        <v>8</v>
      </c>
      <c r="F86" s="6">
        <f>复制!C84</f>
        <v>0</v>
      </c>
      <c r="G86" s="6" t="s">
        <v>9</v>
      </c>
      <c r="H86" s="6">
        <f>复制!D84</f>
        <v>0</v>
      </c>
      <c r="I86" s="6" t="s">
        <v>6</v>
      </c>
      <c r="J86" s="6">
        <f>复制!E84</f>
        <v>0</v>
      </c>
      <c r="K86" s="6" t="s">
        <v>6</v>
      </c>
      <c r="L86" s="6">
        <f>复制!F84</f>
        <v>0</v>
      </c>
      <c r="M86" s="6" t="s">
        <v>6</v>
      </c>
      <c r="N86" s="6">
        <f>复制!G84</f>
        <v>0</v>
      </c>
      <c r="O86" s="6" t="s">
        <v>6</v>
      </c>
      <c r="P86" s="18">
        <f t="shared" si="2"/>
        <v>0</v>
      </c>
      <c r="Q86" s="8" t="s">
        <v>6</v>
      </c>
      <c r="S86" s="11">
        <f ca="1">IF($B86&lt;&gt;0,复制!H84,NOW())</f>
        <v>43199.857517476848</v>
      </c>
      <c r="T86" s="11">
        <f ca="1">IF($B86&lt;&gt;0,复制!I84,NOW())</f>
        <v>43199.857517476848</v>
      </c>
      <c r="U86" s="11">
        <f ca="1">IF($B86&lt;&gt;0,复制!J84,NOW())</f>
        <v>43199.857517476848</v>
      </c>
      <c r="V86" s="6">
        <f t="shared" ca="1" si="3"/>
        <v>0</v>
      </c>
    </row>
    <row r="87" spans="1:22" x14ac:dyDescent="0.15">
      <c r="A87" s="6" t="s">
        <v>5</v>
      </c>
      <c r="B87" s="6">
        <f>复制!A85</f>
        <v>0</v>
      </c>
      <c r="C87" s="6" t="s">
        <v>7</v>
      </c>
      <c r="D87" s="6">
        <f>复制!B85</f>
        <v>0</v>
      </c>
      <c r="E87" s="6" t="s">
        <v>8</v>
      </c>
      <c r="F87" s="6">
        <f>复制!C85</f>
        <v>0</v>
      </c>
      <c r="G87" s="6" t="s">
        <v>9</v>
      </c>
      <c r="H87" s="6">
        <f>复制!D85</f>
        <v>0</v>
      </c>
      <c r="I87" s="6" t="s">
        <v>6</v>
      </c>
      <c r="J87" s="6">
        <f>复制!E85</f>
        <v>0</v>
      </c>
      <c r="K87" s="6" t="s">
        <v>6</v>
      </c>
      <c r="L87" s="6">
        <f>复制!F85</f>
        <v>0</v>
      </c>
      <c r="M87" s="6" t="s">
        <v>6</v>
      </c>
      <c r="N87" s="6">
        <f>复制!G85</f>
        <v>0</v>
      </c>
      <c r="O87" s="6" t="s">
        <v>6</v>
      </c>
      <c r="P87" s="18">
        <f t="shared" si="2"/>
        <v>0</v>
      </c>
      <c r="Q87" s="8" t="s">
        <v>6</v>
      </c>
      <c r="S87" s="11">
        <f ca="1">IF($B87&lt;&gt;0,复制!H85,NOW())</f>
        <v>43199.857517476848</v>
      </c>
      <c r="T87" s="11">
        <f ca="1">IF($B87&lt;&gt;0,复制!I85,NOW())</f>
        <v>43199.857517476848</v>
      </c>
      <c r="U87" s="11">
        <f ca="1">IF($B87&lt;&gt;0,复制!J85,NOW())</f>
        <v>43199.857517476848</v>
      </c>
      <c r="V87" s="6">
        <f t="shared" ca="1" si="3"/>
        <v>0</v>
      </c>
    </row>
    <row r="88" spans="1:22" x14ac:dyDescent="0.15">
      <c r="A88" s="6" t="s">
        <v>5</v>
      </c>
      <c r="B88" s="6">
        <f>复制!A86</f>
        <v>0</v>
      </c>
      <c r="C88" s="6" t="s">
        <v>7</v>
      </c>
      <c r="D88" s="6">
        <f>复制!B86</f>
        <v>0</v>
      </c>
      <c r="E88" s="6" t="s">
        <v>8</v>
      </c>
      <c r="F88" s="6">
        <f>复制!C86</f>
        <v>0</v>
      </c>
      <c r="G88" s="6" t="s">
        <v>9</v>
      </c>
      <c r="H88" s="6">
        <f>复制!D86</f>
        <v>0</v>
      </c>
      <c r="I88" s="6" t="s">
        <v>6</v>
      </c>
      <c r="J88" s="6">
        <f>复制!E86</f>
        <v>0</v>
      </c>
      <c r="K88" s="6" t="s">
        <v>6</v>
      </c>
      <c r="L88" s="6">
        <f>复制!F86</f>
        <v>0</v>
      </c>
      <c r="M88" s="6" t="s">
        <v>6</v>
      </c>
      <c r="N88" s="6">
        <f>复制!G86</f>
        <v>0</v>
      </c>
      <c r="O88" s="6" t="s">
        <v>6</v>
      </c>
      <c r="P88" s="18">
        <f t="shared" si="2"/>
        <v>0</v>
      </c>
      <c r="Q88" s="8" t="s">
        <v>6</v>
      </c>
      <c r="S88" s="11">
        <f ca="1">IF($B88&lt;&gt;0,复制!H86,NOW())</f>
        <v>43199.857517476848</v>
      </c>
      <c r="T88" s="11">
        <f ca="1">IF($B88&lt;&gt;0,复制!I86,NOW())</f>
        <v>43199.857517476848</v>
      </c>
      <c r="U88" s="11">
        <f ca="1">IF($B88&lt;&gt;0,复制!J86,NOW())</f>
        <v>43199.857517476848</v>
      </c>
      <c r="V88" s="6">
        <f t="shared" ca="1" si="3"/>
        <v>0</v>
      </c>
    </row>
    <row r="89" spans="1:22" x14ac:dyDescent="0.15">
      <c r="A89" s="6" t="s">
        <v>5</v>
      </c>
      <c r="B89" s="6">
        <f>复制!A87</f>
        <v>0</v>
      </c>
      <c r="C89" s="6" t="s">
        <v>7</v>
      </c>
      <c r="D89" s="6">
        <f>复制!B87</f>
        <v>0</v>
      </c>
      <c r="E89" s="6" t="s">
        <v>8</v>
      </c>
      <c r="F89" s="6">
        <f>复制!C87</f>
        <v>0</v>
      </c>
      <c r="G89" s="6" t="s">
        <v>9</v>
      </c>
      <c r="H89" s="6">
        <f>复制!D87</f>
        <v>0</v>
      </c>
      <c r="I89" s="6" t="s">
        <v>6</v>
      </c>
      <c r="J89" s="6">
        <f>复制!E87</f>
        <v>0</v>
      </c>
      <c r="K89" s="6" t="s">
        <v>6</v>
      </c>
      <c r="L89" s="6">
        <f>复制!F87</f>
        <v>0</v>
      </c>
      <c r="M89" s="6" t="s">
        <v>6</v>
      </c>
      <c r="N89" s="6">
        <f>复制!G87</f>
        <v>0</v>
      </c>
      <c r="O89" s="6" t="s">
        <v>6</v>
      </c>
      <c r="P89" s="18">
        <f t="shared" si="2"/>
        <v>0</v>
      </c>
      <c r="Q89" s="8" t="s">
        <v>6</v>
      </c>
      <c r="S89" s="11">
        <f ca="1">IF($B89&lt;&gt;0,复制!H87,NOW())</f>
        <v>43199.857517476848</v>
      </c>
      <c r="T89" s="11">
        <f ca="1">IF($B89&lt;&gt;0,复制!I87,NOW())</f>
        <v>43199.857517476848</v>
      </c>
      <c r="U89" s="11">
        <f ca="1">IF($B89&lt;&gt;0,复制!J87,NOW())</f>
        <v>43199.857517476848</v>
      </c>
      <c r="V89" s="6">
        <f t="shared" ca="1" si="3"/>
        <v>0</v>
      </c>
    </row>
    <row r="90" spans="1:22" x14ac:dyDescent="0.15">
      <c r="A90" s="6" t="s">
        <v>5</v>
      </c>
      <c r="B90" s="6">
        <f>复制!A88</f>
        <v>0</v>
      </c>
      <c r="C90" s="6" t="s">
        <v>7</v>
      </c>
      <c r="D90" s="6">
        <f>复制!B88</f>
        <v>0</v>
      </c>
      <c r="E90" s="6" t="s">
        <v>8</v>
      </c>
      <c r="F90" s="6">
        <f>复制!C88</f>
        <v>0</v>
      </c>
      <c r="G90" s="6" t="s">
        <v>9</v>
      </c>
      <c r="H90" s="6">
        <f>复制!D88</f>
        <v>0</v>
      </c>
      <c r="I90" s="6" t="s">
        <v>6</v>
      </c>
      <c r="J90" s="6">
        <f>复制!E88</f>
        <v>0</v>
      </c>
      <c r="K90" s="6" t="s">
        <v>6</v>
      </c>
      <c r="L90" s="6">
        <f>复制!F88</f>
        <v>0</v>
      </c>
      <c r="M90" s="6" t="s">
        <v>6</v>
      </c>
      <c r="N90" s="6">
        <f>复制!G88</f>
        <v>0</v>
      </c>
      <c r="O90" s="6" t="s">
        <v>6</v>
      </c>
      <c r="P90" s="18">
        <f t="shared" si="2"/>
        <v>0</v>
      </c>
      <c r="Q90" s="8" t="s">
        <v>6</v>
      </c>
      <c r="S90" s="11">
        <f ca="1">IF($B90&lt;&gt;0,复制!H88,NOW())</f>
        <v>43199.857517476848</v>
      </c>
      <c r="T90" s="11">
        <f ca="1">IF($B90&lt;&gt;0,复制!I88,NOW())</f>
        <v>43199.857517476848</v>
      </c>
      <c r="U90" s="11">
        <f ca="1">IF($B90&lt;&gt;0,复制!J88,NOW())</f>
        <v>43199.857517476848</v>
      </c>
      <c r="V90" s="6">
        <f t="shared" ca="1" si="3"/>
        <v>0</v>
      </c>
    </row>
    <row r="91" spans="1:22" x14ac:dyDescent="0.15">
      <c r="A91" s="6" t="s">
        <v>5</v>
      </c>
      <c r="B91" s="6">
        <f>复制!A89</f>
        <v>0</v>
      </c>
      <c r="C91" s="6" t="s">
        <v>7</v>
      </c>
      <c r="D91" s="6">
        <f>复制!B89</f>
        <v>0</v>
      </c>
      <c r="E91" s="6" t="s">
        <v>8</v>
      </c>
      <c r="F91" s="6">
        <f>复制!C89</f>
        <v>0</v>
      </c>
      <c r="G91" s="6" t="s">
        <v>9</v>
      </c>
      <c r="H91" s="6">
        <f>复制!D89</f>
        <v>0</v>
      </c>
      <c r="I91" s="6" t="s">
        <v>6</v>
      </c>
      <c r="J91" s="6">
        <f>复制!E89</f>
        <v>0</v>
      </c>
      <c r="K91" s="6" t="s">
        <v>6</v>
      </c>
      <c r="L91" s="6">
        <f>复制!F89</f>
        <v>0</v>
      </c>
      <c r="M91" s="6" t="s">
        <v>6</v>
      </c>
      <c r="N91" s="6">
        <f>复制!G89</f>
        <v>0</v>
      </c>
      <c r="O91" s="6" t="s">
        <v>6</v>
      </c>
      <c r="P91" s="18">
        <f t="shared" si="2"/>
        <v>0</v>
      </c>
      <c r="Q91" s="8" t="s">
        <v>6</v>
      </c>
      <c r="S91" s="11">
        <f ca="1">IF($B91&lt;&gt;0,复制!H89,NOW())</f>
        <v>43199.857517476848</v>
      </c>
      <c r="T91" s="11">
        <f ca="1">IF($B91&lt;&gt;0,复制!I89,NOW())</f>
        <v>43199.857517476848</v>
      </c>
      <c r="U91" s="11">
        <f ca="1">IF($B91&lt;&gt;0,复制!J89,NOW())</f>
        <v>43199.857517476848</v>
      </c>
      <c r="V91" s="6">
        <f t="shared" ca="1" si="3"/>
        <v>0</v>
      </c>
    </row>
    <row r="92" spans="1:22" x14ac:dyDescent="0.15">
      <c r="A92" s="6" t="s">
        <v>5</v>
      </c>
      <c r="B92" s="6">
        <f>复制!A90</f>
        <v>0</v>
      </c>
      <c r="C92" s="6" t="s">
        <v>7</v>
      </c>
      <c r="D92" s="6">
        <f>复制!B90</f>
        <v>0</v>
      </c>
      <c r="E92" s="6" t="s">
        <v>8</v>
      </c>
      <c r="F92" s="6">
        <f>复制!C90</f>
        <v>0</v>
      </c>
      <c r="G92" s="6" t="s">
        <v>9</v>
      </c>
      <c r="H92" s="6">
        <f>复制!D90</f>
        <v>0</v>
      </c>
      <c r="I92" s="6" t="s">
        <v>6</v>
      </c>
      <c r="J92" s="6">
        <f>复制!E90</f>
        <v>0</v>
      </c>
      <c r="K92" s="6" t="s">
        <v>6</v>
      </c>
      <c r="L92" s="6">
        <f>复制!F90</f>
        <v>0</v>
      </c>
      <c r="M92" s="6" t="s">
        <v>6</v>
      </c>
      <c r="N92" s="6">
        <f>复制!G90</f>
        <v>0</v>
      </c>
      <c r="O92" s="6" t="s">
        <v>6</v>
      </c>
      <c r="P92" s="18">
        <f t="shared" si="2"/>
        <v>0</v>
      </c>
      <c r="Q92" s="8" t="s">
        <v>6</v>
      </c>
      <c r="S92" s="11">
        <f ca="1">IF($B92&lt;&gt;0,复制!H90,NOW())</f>
        <v>43199.857517476848</v>
      </c>
      <c r="T92" s="11">
        <f ca="1">IF($B92&lt;&gt;0,复制!I90,NOW())</f>
        <v>43199.857517476848</v>
      </c>
      <c r="U92" s="11">
        <f ca="1">IF($B92&lt;&gt;0,复制!J90,NOW())</f>
        <v>43199.857517476848</v>
      </c>
      <c r="V92" s="6">
        <f t="shared" ca="1" si="3"/>
        <v>0</v>
      </c>
    </row>
    <row r="93" spans="1:22" x14ac:dyDescent="0.15">
      <c r="A93" s="6" t="s">
        <v>5</v>
      </c>
      <c r="B93" s="6">
        <f>复制!A91</f>
        <v>0</v>
      </c>
      <c r="C93" s="6" t="s">
        <v>7</v>
      </c>
      <c r="D93" s="6">
        <f>复制!B91</f>
        <v>0</v>
      </c>
      <c r="E93" s="6" t="s">
        <v>8</v>
      </c>
      <c r="F93" s="6">
        <f>复制!C91</f>
        <v>0</v>
      </c>
      <c r="G93" s="6" t="s">
        <v>9</v>
      </c>
      <c r="H93" s="6">
        <f>复制!D91</f>
        <v>0</v>
      </c>
      <c r="I93" s="6" t="s">
        <v>6</v>
      </c>
      <c r="J93" s="6">
        <f>复制!E91</f>
        <v>0</v>
      </c>
      <c r="K93" s="6" t="s">
        <v>6</v>
      </c>
      <c r="L93" s="6">
        <f>复制!F91</f>
        <v>0</v>
      </c>
      <c r="M93" s="6" t="s">
        <v>6</v>
      </c>
      <c r="N93" s="6">
        <f>复制!G91</f>
        <v>0</v>
      </c>
      <c r="O93" s="6" t="s">
        <v>6</v>
      </c>
      <c r="P93" s="18">
        <f t="shared" si="2"/>
        <v>0</v>
      </c>
      <c r="Q93" s="8" t="s">
        <v>6</v>
      </c>
      <c r="S93" s="11">
        <f ca="1">IF($B93&lt;&gt;0,复制!H91,NOW())</f>
        <v>43199.857517476848</v>
      </c>
      <c r="T93" s="11">
        <f ca="1">IF($B93&lt;&gt;0,复制!I91,NOW())</f>
        <v>43199.857517476848</v>
      </c>
      <c r="U93" s="11">
        <f ca="1">IF($B93&lt;&gt;0,复制!J91,NOW())</f>
        <v>43199.857517476848</v>
      </c>
      <c r="V93" s="6">
        <f t="shared" ca="1" si="3"/>
        <v>0</v>
      </c>
    </row>
    <row r="94" spans="1:22" x14ac:dyDescent="0.15">
      <c r="A94" s="6" t="s">
        <v>5</v>
      </c>
      <c r="B94" s="6">
        <f>复制!A92</f>
        <v>0</v>
      </c>
      <c r="C94" s="6" t="s">
        <v>7</v>
      </c>
      <c r="D94" s="6">
        <f>复制!B92</f>
        <v>0</v>
      </c>
      <c r="E94" s="6" t="s">
        <v>8</v>
      </c>
      <c r="F94" s="6">
        <f>复制!C92</f>
        <v>0</v>
      </c>
      <c r="G94" s="6" t="s">
        <v>9</v>
      </c>
      <c r="H94" s="6">
        <f>复制!D92</f>
        <v>0</v>
      </c>
      <c r="I94" s="6" t="s">
        <v>6</v>
      </c>
      <c r="J94" s="6">
        <f>复制!E92</f>
        <v>0</v>
      </c>
      <c r="K94" s="6" t="s">
        <v>6</v>
      </c>
      <c r="L94" s="6">
        <f>复制!F92</f>
        <v>0</v>
      </c>
      <c r="M94" s="6" t="s">
        <v>6</v>
      </c>
      <c r="N94" s="6">
        <f>复制!G92</f>
        <v>0</v>
      </c>
      <c r="O94" s="6" t="s">
        <v>6</v>
      </c>
      <c r="P94" s="18">
        <f t="shared" si="2"/>
        <v>0</v>
      </c>
      <c r="Q94" s="8" t="s">
        <v>6</v>
      </c>
      <c r="S94" s="11">
        <f ca="1">IF($B94&lt;&gt;0,复制!H92,NOW())</f>
        <v>43199.857517476848</v>
      </c>
      <c r="T94" s="11">
        <f ca="1">IF($B94&lt;&gt;0,复制!I92,NOW())</f>
        <v>43199.857517476848</v>
      </c>
      <c r="U94" s="11">
        <f ca="1">IF($B94&lt;&gt;0,复制!J92,NOW())</f>
        <v>43199.857517476848</v>
      </c>
      <c r="V94" s="6">
        <f t="shared" ca="1" si="3"/>
        <v>0</v>
      </c>
    </row>
    <row r="95" spans="1:22" x14ac:dyDescent="0.15">
      <c r="A95" s="6" t="s">
        <v>5</v>
      </c>
      <c r="B95" s="6">
        <f>复制!A93</f>
        <v>0</v>
      </c>
      <c r="C95" s="6" t="s">
        <v>7</v>
      </c>
      <c r="D95" s="6">
        <f>复制!B93</f>
        <v>0</v>
      </c>
      <c r="E95" s="6" t="s">
        <v>8</v>
      </c>
      <c r="F95" s="6">
        <f>复制!C93</f>
        <v>0</v>
      </c>
      <c r="G95" s="6" t="s">
        <v>9</v>
      </c>
      <c r="H95" s="6">
        <f>复制!D93</f>
        <v>0</v>
      </c>
      <c r="I95" s="6" t="s">
        <v>6</v>
      </c>
      <c r="J95" s="6">
        <f>复制!E93</f>
        <v>0</v>
      </c>
      <c r="K95" s="6" t="s">
        <v>6</v>
      </c>
      <c r="L95" s="6">
        <f>复制!F93</f>
        <v>0</v>
      </c>
      <c r="M95" s="6" t="s">
        <v>6</v>
      </c>
      <c r="N95" s="6">
        <f>复制!G93</f>
        <v>0</v>
      </c>
      <c r="O95" s="6" t="s">
        <v>6</v>
      </c>
      <c r="P95" s="18">
        <f t="shared" si="2"/>
        <v>0</v>
      </c>
      <c r="Q95" s="8" t="s">
        <v>6</v>
      </c>
      <c r="S95" s="11">
        <f ca="1">IF($B95&lt;&gt;0,复制!H93,NOW())</f>
        <v>43199.857517476848</v>
      </c>
      <c r="T95" s="11">
        <f ca="1">IF($B95&lt;&gt;0,复制!I93,NOW())</f>
        <v>43199.857517476848</v>
      </c>
      <c r="U95" s="11">
        <f ca="1">IF($B95&lt;&gt;0,复制!J93,NOW())</f>
        <v>43199.857517476848</v>
      </c>
      <c r="V95" s="6">
        <f t="shared" ca="1" si="3"/>
        <v>0</v>
      </c>
    </row>
    <row r="96" spans="1:22" x14ac:dyDescent="0.15">
      <c r="A96" s="6" t="s">
        <v>5</v>
      </c>
      <c r="B96" s="6">
        <f>复制!A94</f>
        <v>0</v>
      </c>
      <c r="C96" s="6" t="s">
        <v>7</v>
      </c>
      <c r="D96" s="6">
        <f>复制!B94</f>
        <v>0</v>
      </c>
      <c r="E96" s="6" t="s">
        <v>8</v>
      </c>
      <c r="F96" s="6">
        <f>复制!C94</f>
        <v>0</v>
      </c>
      <c r="G96" s="6" t="s">
        <v>9</v>
      </c>
      <c r="H96" s="6">
        <f>复制!D94</f>
        <v>0</v>
      </c>
      <c r="I96" s="6" t="s">
        <v>6</v>
      </c>
      <c r="J96" s="6">
        <f>复制!E94</f>
        <v>0</v>
      </c>
      <c r="K96" s="6" t="s">
        <v>6</v>
      </c>
      <c r="L96" s="6">
        <f>复制!F94</f>
        <v>0</v>
      </c>
      <c r="M96" s="6" t="s">
        <v>6</v>
      </c>
      <c r="N96" s="6">
        <f>复制!G94</f>
        <v>0</v>
      </c>
      <c r="O96" s="6" t="s">
        <v>6</v>
      </c>
      <c r="P96" s="18">
        <f t="shared" si="2"/>
        <v>0</v>
      </c>
      <c r="Q96" s="8" t="s">
        <v>6</v>
      </c>
      <c r="S96" s="11">
        <f ca="1">IF($B96&lt;&gt;0,复制!H94,NOW())</f>
        <v>43199.857517476848</v>
      </c>
      <c r="T96" s="11">
        <f ca="1">IF($B96&lt;&gt;0,复制!I94,NOW())</f>
        <v>43199.857517476848</v>
      </c>
      <c r="U96" s="11">
        <f ca="1">IF($B96&lt;&gt;0,复制!J94,NOW())</f>
        <v>43199.857517476848</v>
      </c>
      <c r="V96" s="6">
        <f t="shared" ca="1" si="3"/>
        <v>0</v>
      </c>
    </row>
    <row r="97" spans="1:22" x14ac:dyDescent="0.15">
      <c r="A97" s="6" t="s">
        <v>5</v>
      </c>
      <c r="B97" s="6">
        <f>复制!A95</f>
        <v>0</v>
      </c>
      <c r="C97" s="6" t="s">
        <v>7</v>
      </c>
      <c r="D97" s="6">
        <f>复制!B95</f>
        <v>0</v>
      </c>
      <c r="E97" s="6" t="s">
        <v>8</v>
      </c>
      <c r="F97" s="6">
        <f>复制!C95</f>
        <v>0</v>
      </c>
      <c r="G97" s="6" t="s">
        <v>9</v>
      </c>
      <c r="H97" s="6">
        <f>复制!D95</f>
        <v>0</v>
      </c>
      <c r="I97" s="6" t="s">
        <v>6</v>
      </c>
      <c r="J97" s="6">
        <f>复制!E95</f>
        <v>0</v>
      </c>
      <c r="K97" s="6" t="s">
        <v>6</v>
      </c>
      <c r="L97" s="6">
        <f>复制!F95</f>
        <v>0</v>
      </c>
      <c r="M97" s="6" t="s">
        <v>6</v>
      </c>
      <c r="N97" s="6">
        <f>复制!G95</f>
        <v>0</v>
      </c>
      <c r="O97" s="6" t="s">
        <v>6</v>
      </c>
      <c r="P97" s="18">
        <f t="shared" si="2"/>
        <v>0</v>
      </c>
      <c r="Q97" s="8" t="s">
        <v>6</v>
      </c>
      <c r="S97" s="11">
        <f ca="1">IF($B97&lt;&gt;0,复制!H95,NOW())</f>
        <v>43199.857517476848</v>
      </c>
      <c r="T97" s="11">
        <f ca="1">IF($B97&lt;&gt;0,复制!I95,NOW())</f>
        <v>43199.857517476848</v>
      </c>
      <c r="U97" s="11">
        <f ca="1">IF($B97&lt;&gt;0,复制!J95,NOW())</f>
        <v>43199.857517476848</v>
      </c>
      <c r="V97" s="6">
        <f t="shared" ca="1" si="3"/>
        <v>0</v>
      </c>
    </row>
    <row r="98" spans="1:22" x14ac:dyDescent="0.15">
      <c r="A98" s="6" t="s">
        <v>5</v>
      </c>
      <c r="B98" s="6">
        <f>复制!A96</f>
        <v>0</v>
      </c>
      <c r="C98" s="6" t="s">
        <v>7</v>
      </c>
      <c r="D98" s="6">
        <f>复制!B96</f>
        <v>0</v>
      </c>
      <c r="E98" s="6" t="s">
        <v>8</v>
      </c>
      <c r="F98" s="6">
        <f>复制!C96</f>
        <v>0</v>
      </c>
      <c r="G98" s="6" t="s">
        <v>9</v>
      </c>
      <c r="H98" s="6">
        <f>复制!D96</f>
        <v>0</v>
      </c>
      <c r="I98" s="6" t="s">
        <v>6</v>
      </c>
      <c r="J98" s="6">
        <f>复制!E96</f>
        <v>0</v>
      </c>
      <c r="K98" s="6" t="s">
        <v>6</v>
      </c>
      <c r="L98" s="6">
        <f>复制!F96</f>
        <v>0</v>
      </c>
      <c r="M98" s="6" t="s">
        <v>6</v>
      </c>
      <c r="N98" s="6">
        <f>复制!G96</f>
        <v>0</v>
      </c>
      <c r="O98" s="6" t="s">
        <v>6</v>
      </c>
      <c r="P98" s="18">
        <f t="shared" si="2"/>
        <v>0</v>
      </c>
      <c r="Q98" s="8" t="s">
        <v>6</v>
      </c>
      <c r="S98" s="11">
        <f ca="1">IF($B98&lt;&gt;0,复制!H96,NOW())</f>
        <v>43199.857517476848</v>
      </c>
      <c r="T98" s="11">
        <f ca="1">IF($B98&lt;&gt;0,复制!I96,NOW())</f>
        <v>43199.857517476848</v>
      </c>
      <c r="U98" s="11">
        <f ca="1">IF($B98&lt;&gt;0,复制!J96,NOW())</f>
        <v>43199.857517476848</v>
      </c>
      <c r="V98" s="6">
        <f t="shared" ca="1" si="3"/>
        <v>0</v>
      </c>
    </row>
    <row r="99" spans="1:22" x14ac:dyDescent="0.15">
      <c r="A99" s="6" t="s">
        <v>5</v>
      </c>
      <c r="B99" s="6">
        <f>复制!A97</f>
        <v>0</v>
      </c>
      <c r="C99" s="6" t="s">
        <v>7</v>
      </c>
      <c r="D99" s="6">
        <f>复制!B97</f>
        <v>0</v>
      </c>
      <c r="E99" s="6" t="s">
        <v>8</v>
      </c>
      <c r="F99" s="6">
        <f>复制!C97</f>
        <v>0</v>
      </c>
      <c r="G99" s="6" t="s">
        <v>9</v>
      </c>
      <c r="H99" s="6">
        <f>复制!D97</f>
        <v>0</v>
      </c>
      <c r="I99" s="6" t="s">
        <v>6</v>
      </c>
      <c r="J99" s="6">
        <f>复制!E97</f>
        <v>0</v>
      </c>
      <c r="K99" s="6" t="s">
        <v>6</v>
      </c>
      <c r="L99" s="6">
        <f>复制!F97</f>
        <v>0</v>
      </c>
      <c r="M99" s="6" t="s">
        <v>6</v>
      </c>
      <c r="N99" s="6">
        <f>复制!G97</f>
        <v>0</v>
      </c>
      <c r="O99" s="6" t="s">
        <v>6</v>
      </c>
      <c r="P99" s="18">
        <f t="shared" si="2"/>
        <v>0</v>
      </c>
      <c r="Q99" s="8" t="s">
        <v>6</v>
      </c>
      <c r="S99" s="11">
        <f ca="1">IF($B99&lt;&gt;0,复制!H97,NOW())</f>
        <v>43199.857517476848</v>
      </c>
      <c r="T99" s="11">
        <f ca="1">IF($B99&lt;&gt;0,复制!I97,NOW())</f>
        <v>43199.857517476848</v>
      </c>
      <c r="U99" s="11">
        <f ca="1">IF($B99&lt;&gt;0,复制!J97,NOW())</f>
        <v>43199.857517476848</v>
      </c>
      <c r="V99" s="6">
        <f t="shared" ca="1" si="3"/>
        <v>0</v>
      </c>
    </row>
    <row r="100" spans="1:22" x14ac:dyDescent="0.15">
      <c r="A100" s="6" t="s">
        <v>5</v>
      </c>
      <c r="B100" s="6">
        <f>复制!A98</f>
        <v>0</v>
      </c>
      <c r="C100" s="6" t="s">
        <v>7</v>
      </c>
      <c r="D100" s="6">
        <f>复制!B98</f>
        <v>0</v>
      </c>
      <c r="E100" s="6" t="s">
        <v>8</v>
      </c>
      <c r="F100" s="6">
        <f>复制!C98</f>
        <v>0</v>
      </c>
      <c r="G100" s="6" t="s">
        <v>9</v>
      </c>
      <c r="H100" s="6">
        <f>复制!D98</f>
        <v>0</v>
      </c>
      <c r="I100" s="6" t="s">
        <v>6</v>
      </c>
      <c r="J100" s="6">
        <f>复制!E98</f>
        <v>0</v>
      </c>
      <c r="K100" s="6" t="s">
        <v>6</v>
      </c>
      <c r="L100" s="6">
        <f>复制!F98</f>
        <v>0</v>
      </c>
      <c r="M100" s="6" t="s">
        <v>6</v>
      </c>
      <c r="N100" s="6">
        <f>复制!G98</f>
        <v>0</v>
      </c>
      <c r="O100" s="6" t="s">
        <v>6</v>
      </c>
      <c r="P100" s="18">
        <f t="shared" si="2"/>
        <v>0</v>
      </c>
      <c r="Q100" s="8" t="s">
        <v>6</v>
      </c>
      <c r="S100" s="11">
        <f ca="1">IF($B100&lt;&gt;0,复制!H98,NOW())</f>
        <v>43199.857517476848</v>
      </c>
      <c r="T100" s="11">
        <f ca="1">IF($B100&lt;&gt;0,复制!I98,NOW())</f>
        <v>43199.857517476848</v>
      </c>
      <c r="U100" s="11">
        <f ca="1">IF($B100&lt;&gt;0,复制!J98,NOW())</f>
        <v>43199.857517476848</v>
      </c>
      <c r="V100" s="6">
        <f t="shared" ca="1" si="3"/>
        <v>0</v>
      </c>
    </row>
    <row r="101" spans="1:22" x14ac:dyDescent="0.15">
      <c r="A101" s="6" t="s">
        <v>5</v>
      </c>
      <c r="B101" s="6">
        <f>复制!A99</f>
        <v>0</v>
      </c>
      <c r="C101" s="6" t="s">
        <v>7</v>
      </c>
      <c r="D101" s="6">
        <f>复制!B99</f>
        <v>0</v>
      </c>
      <c r="E101" s="6" t="s">
        <v>8</v>
      </c>
      <c r="F101" s="6">
        <f>复制!C99</f>
        <v>0</v>
      </c>
      <c r="G101" s="6" t="s">
        <v>9</v>
      </c>
      <c r="H101" s="6">
        <f>复制!D99</f>
        <v>0</v>
      </c>
      <c r="I101" s="6" t="s">
        <v>6</v>
      </c>
      <c r="J101" s="6">
        <f>复制!E99</f>
        <v>0</v>
      </c>
      <c r="K101" s="6" t="s">
        <v>6</v>
      </c>
      <c r="L101" s="6">
        <f>复制!F99</f>
        <v>0</v>
      </c>
      <c r="M101" s="6" t="s">
        <v>6</v>
      </c>
      <c r="N101" s="6">
        <f>复制!G99</f>
        <v>0</v>
      </c>
      <c r="O101" s="6" t="s">
        <v>6</v>
      </c>
      <c r="P101" s="18">
        <f t="shared" si="2"/>
        <v>0</v>
      </c>
      <c r="Q101" s="8" t="s">
        <v>6</v>
      </c>
      <c r="S101" s="11">
        <f ca="1">IF($B101&lt;&gt;0,复制!H99,NOW())</f>
        <v>43199.857517476848</v>
      </c>
      <c r="T101" s="11">
        <f ca="1">IF($B101&lt;&gt;0,复制!I99,NOW())</f>
        <v>43199.857517476848</v>
      </c>
      <c r="U101" s="11">
        <f ca="1">IF($B101&lt;&gt;0,复制!J99,NOW())</f>
        <v>43199.857517476848</v>
      </c>
      <c r="V101" s="6">
        <f t="shared" ca="1" si="3"/>
        <v>0</v>
      </c>
    </row>
    <row r="102" spans="1:22" x14ac:dyDescent="0.15">
      <c r="A102" s="6" t="s">
        <v>5</v>
      </c>
      <c r="B102" s="6">
        <f>复制!A100</f>
        <v>0</v>
      </c>
      <c r="C102" s="6" t="s">
        <v>7</v>
      </c>
      <c r="D102" s="6">
        <f>复制!B100</f>
        <v>0</v>
      </c>
      <c r="E102" s="6" t="s">
        <v>8</v>
      </c>
      <c r="F102" s="6">
        <f>复制!C100</f>
        <v>0</v>
      </c>
      <c r="G102" s="6" t="s">
        <v>9</v>
      </c>
      <c r="H102" s="6">
        <f>复制!D100</f>
        <v>0</v>
      </c>
      <c r="I102" s="6" t="s">
        <v>6</v>
      </c>
      <c r="J102" s="6">
        <f>复制!E100</f>
        <v>0</v>
      </c>
      <c r="K102" s="6" t="s">
        <v>6</v>
      </c>
      <c r="L102" s="6">
        <f>复制!F100</f>
        <v>0</v>
      </c>
      <c r="M102" s="6" t="s">
        <v>6</v>
      </c>
      <c r="N102" s="6">
        <f>复制!G100</f>
        <v>0</v>
      </c>
      <c r="O102" s="6" t="s">
        <v>6</v>
      </c>
      <c r="P102" s="18">
        <f t="shared" si="2"/>
        <v>0</v>
      </c>
      <c r="Q102" s="8" t="s">
        <v>6</v>
      </c>
      <c r="S102" s="11">
        <f ca="1">IF($B102&lt;&gt;0,复制!H100,NOW())</f>
        <v>43199.857517476848</v>
      </c>
      <c r="T102" s="11">
        <f ca="1">IF($B102&lt;&gt;0,复制!I100,NOW())</f>
        <v>43199.857517476848</v>
      </c>
      <c r="U102" s="11">
        <f ca="1">IF($B102&lt;&gt;0,复制!J100,NOW())</f>
        <v>43199.857517476848</v>
      </c>
      <c r="V102" s="6">
        <f t="shared" ca="1" si="3"/>
        <v>0</v>
      </c>
    </row>
    <row r="112" spans="1:22" x14ac:dyDescent="0.15">
      <c r="B112" s="6">
        <f>COUNTIF(B3:B102,"&lt;&gt;0")</f>
        <v>21</v>
      </c>
      <c r="D112" s="6">
        <f>SUMPRODUCT(1/COUNTIF(B3:B102,B3:B102))-1</f>
        <v>12.000000000000007</v>
      </c>
      <c r="H112" s="6">
        <f>SUM(H3:H102)</f>
        <v>38.318000000000005</v>
      </c>
      <c r="N112" s="6">
        <f>SUM(N3:N102)</f>
        <v>1062</v>
      </c>
    </row>
  </sheetData>
  <phoneticPr fontId="19" type="noConversion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0133446-DC6C-4C79-9259-95EF79B2B6CF}">
  <sheetPr codeName="Sheet10"/>
  <dimension ref="A1:AG112"/>
  <sheetViews>
    <sheetView tabSelected="1" workbookViewId="0">
      <selection activeCell="AB47" sqref="AB47"/>
    </sheetView>
  </sheetViews>
  <sheetFormatPr defaultRowHeight="11.25" x14ac:dyDescent="0.15"/>
  <cols>
    <col min="1" max="1" width="1.875" style="6" customWidth="1"/>
    <col min="2" max="2" width="9.625" style="6" customWidth="1"/>
    <col min="3" max="3" width="2.375" style="6" customWidth="1"/>
    <col min="4" max="4" width="13.125" style="6" customWidth="1"/>
    <col min="5" max="5" width="2.375" style="6" customWidth="1"/>
    <col min="6" max="6" width="24" style="6" customWidth="1"/>
    <col min="7" max="7" width="2.125" style="6" customWidth="1"/>
    <col min="8" max="8" width="22" style="6" customWidth="1"/>
    <col min="9" max="9" width="2.5" style="6" customWidth="1"/>
    <col min="10" max="10" width="4.625" style="6" customWidth="1"/>
    <col min="11" max="11" width="1.75" style="6" customWidth="1"/>
    <col min="12" max="12" width="3.625" style="6" customWidth="1"/>
    <col min="13" max="13" width="1.625" style="6" customWidth="1"/>
    <col min="14" max="14" width="5.375" style="6" customWidth="1"/>
    <col min="15" max="15" width="2" style="6" customWidth="1"/>
    <col min="16" max="16" width="3.75" style="6" customWidth="1"/>
    <col min="17" max="17" width="2" style="6" customWidth="1"/>
    <col min="18" max="18" width="6.75" style="18" customWidth="1"/>
    <col min="19" max="19" width="2.5" style="8" customWidth="1"/>
    <col min="20" max="20" width="2" style="10" customWidth="1"/>
    <col min="21" max="21" width="8.5" style="6" customWidth="1"/>
    <col min="22" max="22" width="8.25" style="6" customWidth="1"/>
    <col min="23" max="23" width="8.5" style="6" customWidth="1"/>
    <col min="24" max="24" width="3.75" style="6" customWidth="1"/>
    <col min="25" max="25" width="3.625" style="6" customWidth="1"/>
    <col min="26" max="26" width="4.125" style="6" customWidth="1"/>
    <col min="27" max="27" width="17.75" style="6" customWidth="1"/>
    <col min="28" max="28" width="9" style="6"/>
    <col min="29" max="29" width="5.5" style="6" customWidth="1"/>
    <col min="30" max="30" width="9" style="6"/>
    <col min="31" max="31" width="5.625" style="6" customWidth="1"/>
    <col min="32" max="32" width="9" style="6"/>
    <col min="33" max="33" width="3.75" style="6" customWidth="1"/>
    <col min="34" max="16384" width="9" style="6"/>
  </cols>
  <sheetData>
    <row r="1" spans="1:33" s="2" customFormat="1" ht="23.25" customHeight="1" x14ac:dyDescent="0.15">
      <c r="A1" s="2" t="s">
        <v>6</v>
      </c>
      <c r="B1" s="2" t="s">
        <v>35</v>
      </c>
      <c r="C1" s="2" t="s">
        <v>6</v>
      </c>
      <c r="D1" s="2" t="s">
        <v>13</v>
      </c>
      <c r="E1" s="2" t="s">
        <v>6</v>
      </c>
      <c r="F1" s="2" t="s">
        <v>14</v>
      </c>
      <c r="I1" s="2" t="s">
        <v>6</v>
      </c>
      <c r="J1" s="2" t="s">
        <v>15</v>
      </c>
      <c r="K1" s="2" t="s">
        <v>6</v>
      </c>
      <c r="L1" s="3" t="s">
        <v>16</v>
      </c>
      <c r="M1" s="2" t="s">
        <v>6</v>
      </c>
      <c r="N1" s="3" t="s">
        <v>17</v>
      </c>
      <c r="O1" s="2" t="s">
        <v>6</v>
      </c>
      <c r="P1" s="3" t="s">
        <v>18</v>
      </c>
      <c r="Q1" s="2" t="s">
        <v>6</v>
      </c>
      <c r="R1" s="20" t="s">
        <v>19</v>
      </c>
      <c r="S1" s="4" t="s">
        <v>6</v>
      </c>
      <c r="T1" s="5"/>
      <c r="U1" s="2" t="s">
        <v>20</v>
      </c>
      <c r="X1" s="3"/>
      <c r="Y1" s="3" t="s">
        <v>10</v>
      </c>
      <c r="Z1" s="3"/>
      <c r="AA1" s="12" t="s">
        <v>32</v>
      </c>
      <c r="AD1" s="12" t="s">
        <v>31</v>
      </c>
      <c r="AF1" s="12" t="s">
        <v>134</v>
      </c>
      <c r="AG1" s="3"/>
    </row>
    <row r="2" spans="1:33" x14ac:dyDescent="0.15">
      <c r="A2" s="6" t="s">
        <v>24</v>
      </c>
      <c r="B2" s="7" t="s">
        <v>25</v>
      </c>
      <c r="C2" s="6" t="s">
        <v>24</v>
      </c>
      <c r="D2" s="7" t="s">
        <v>25</v>
      </c>
      <c r="E2" s="6" t="s">
        <v>24</v>
      </c>
      <c r="F2" s="7" t="s">
        <v>25</v>
      </c>
      <c r="I2" s="6" t="s">
        <v>24</v>
      </c>
      <c r="J2" s="7" t="s">
        <v>25</v>
      </c>
      <c r="K2" s="6" t="s">
        <v>24</v>
      </c>
      <c r="L2" s="7" t="s">
        <v>26</v>
      </c>
      <c r="M2" s="6" t="s">
        <v>24</v>
      </c>
      <c r="N2" s="7" t="s">
        <v>25</v>
      </c>
      <c r="O2" s="6" t="s">
        <v>24</v>
      </c>
      <c r="P2" s="7" t="s">
        <v>25</v>
      </c>
      <c r="Q2" s="6" t="s">
        <v>24</v>
      </c>
      <c r="R2" s="19" t="s">
        <v>25</v>
      </c>
      <c r="S2" s="8" t="s">
        <v>27</v>
      </c>
      <c r="T2" s="9"/>
      <c r="AA2" s="13" t="s">
        <v>33</v>
      </c>
      <c r="AB2" s="6" t="s">
        <v>34</v>
      </c>
    </row>
    <row r="3" spans="1:33" x14ac:dyDescent="0.15">
      <c r="A3" s="6" t="s">
        <v>6</v>
      </c>
      <c r="B3" s="6" t="s">
        <v>135</v>
      </c>
      <c r="C3" s="6" t="s">
        <v>5</v>
      </c>
      <c r="D3" s="6" t="str">
        <f>复制!A4</f>
        <v>april6th</v>
      </c>
      <c r="E3" s="6" t="s">
        <v>7</v>
      </c>
      <c r="F3" s="6" t="str">
        <f>复制!B4</f>
        <v>《棠梨煎雪》 ｜无关爱情好声音</v>
      </c>
      <c r="G3" s="6" t="s">
        <v>8</v>
      </c>
      <c r="H3" s="6" t="str">
        <f>复制!C4</f>
        <v>/cn/@april6th/4rcuhp-or</v>
      </c>
      <c r="I3" s="6" t="s">
        <v>9</v>
      </c>
      <c r="J3" s="6">
        <f>复制!D4</f>
        <v>0.23300000000000001</v>
      </c>
      <c r="K3" s="6" t="s">
        <v>6</v>
      </c>
      <c r="L3" s="6">
        <f>复制!E4</f>
        <v>7</v>
      </c>
      <c r="M3" s="6" t="s">
        <v>6</v>
      </c>
      <c r="N3" s="6">
        <f>复制!F4</f>
        <v>4</v>
      </c>
      <c r="O3" s="6" t="s">
        <v>6</v>
      </c>
      <c r="P3" s="6">
        <f>复制!G4</f>
        <v>7</v>
      </c>
      <c r="Q3" s="6" t="s">
        <v>6</v>
      </c>
      <c r="R3" s="18">
        <f t="shared" ref="R3:R23" si="0">IF(D3&lt;&gt;0,(L3+N3)/P3,0)</f>
        <v>1.5714285714285714</v>
      </c>
      <c r="S3" s="8" t="s">
        <v>6</v>
      </c>
      <c r="T3" s="10">
        <v>1</v>
      </c>
      <c r="U3" s="11">
        <f ca="1">IF(D3&lt;&gt;0,复制!H4,NOW())</f>
        <v>43191.998159722221</v>
      </c>
      <c r="V3" s="11">
        <f ca="1">IF(D3&lt;&gt;0,复制!I4,NOW())</f>
        <v>43143.751354166663</v>
      </c>
      <c r="W3" s="11">
        <f ca="1">IF(D3&lt;&gt;0,复制!J4,NOW())</f>
        <v>43197</v>
      </c>
      <c r="Y3" s="6">
        <v>4</v>
      </c>
    </row>
    <row r="4" spans="1:33" x14ac:dyDescent="0.15">
      <c r="A4" s="6" t="s">
        <v>6</v>
      </c>
      <c r="B4" s="6" t="s">
        <v>136</v>
      </c>
      <c r="C4" s="6" t="s">
        <v>5</v>
      </c>
      <c r="D4" s="6" t="str">
        <f>复制!A5</f>
        <v>crowflew</v>
      </c>
      <c r="E4" s="6" t="s">
        <v>7</v>
      </c>
      <c r="F4" s="6" t="str">
        <f>复制!B5</f>
        <v>致解冻的风｜无关爱情好声音#16</v>
      </c>
      <c r="G4" s="6" t="s">
        <v>8</v>
      </c>
      <c r="H4" s="6" t="str">
        <f>复制!C5</f>
        <v>/cn/@crowflew/or-16</v>
      </c>
      <c r="I4" s="6" t="s">
        <v>9</v>
      </c>
      <c r="J4" s="6">
        <f>复制!D5</f>
        <v>0.20499999999999999</v>
      </c>
      <c r="K4" s="6" t="s">
        <v>6</v>
      </c>
      <c r="L4" s="6">
        <f>复制!E5</f>
        <v>10</v>
      </c>
      <c r="M4" s="6" t="s">
        <v>6</v>
      </c>
      <c r="N4" s="6">
        <f>复制!F5</f>
        <v>14</v>
      </c>
      <c r="O4" s="6" t="s">
        <v>6</v>
      </c>
      <c r="P4" s="6">
        <f>复制!G5</f>
        <v>18</v>
      </c>
      <c r="Q4" s="6" t="s">
        <v>6</v>
      </c>
      <c r="R4" s="18">
        <f t="shared" si="0"/>
        <v>1.3333333333333333</v>
      </c>
      <c r="S4" s="8" t="s">
        <v>6</v>
      </c>
      <c r="T4" s="10">
        <v>2</v>
      </c>
      <c r="U4" s="11">
        <f ca="1">IF(D4&lt;&gt;0,复制!H5,NOW())</f>
        <v>43192.500937500001</v>
      </c>
      <c r="V4" s="11">
        <f ca="1">IF(D4&lt;&gt;0,复制!I5,NOW())</f>
        <v>43142.438402777778</v>
      </c>
      <c r="W4" s="11">
        <f ca="1">IF(D4&lt;&gt;0,复制!J5,NOW())</f>
        <v>43197</v>
      </c>
      <c r="Y4" s="6">
        <v>5</v>
      </c>
    </row>
    <row r="5" spans="1:33" x14ac:dyDescent="0.15">
      <c r="A5" s="6" t="s">
        <v>6</v>
      </c>
      <c r="B5" s="6" t="s">
        <v>137</v>
      </c>
      <c r="C5" s="6" t="s">
        <v>5</v>
      </c>
      <c r="D5" s="6" t="str">
        <f>复制!A3</f>
        <v>mxg</v>
      </c>
      <c r="E5" s="6" t="s">
        <v>7</v>
      </c>
      <c r="F5" s="6" t="str">
        <f>复制!B3</f>
        <v>打工行――无关爱情好声音</v>
      </c>
      <c r="G5" s="6" t="s">
        <v>8</v>
      </c>
      <c r="H5" s="6" t="str">
        <f>复制!C3</f>
        <v>/cn/@mxg/elaua</v>
      </c>
      <c r="I5" s="6" t="s">
        <v>9</v>
      </c>
      <c r="J5" s="6">
        <f>复制!D3</f>
        <v>0.5</v>
      </c>
      <c r="K5" s="6" t="s">
        <v>6</v>
      </c>
      <c r="L5" s="6">
        <f>复制!E3</f>
        <v>7</v>
      </c>
      <c r="M5" s="6" t="s">
        <v>6</v>
      </c>
      <c r="N5" s="6">
        <f>复制!F3</f>
        <v>9</v>
      </c>
      <c r="O5" s="6" t="s">
        <v>6</v>
      </c>
      <c r="P5" s="6">
        <f>复制!G3</f>
        <v>12</v>
      </c>
      <c r="Q5" s="6" t="s">
        <v>6</v>
      </c>
      <c r="R5" s="18">
        <f t="shared" si="0"/>
        <v>1.3333333333333333</v>
      </c>
      <c r="S5" s="8" t="s">
        <v>6</v>
      </c>
      <c r="T5" s="10">
        <v>3</v>
      </c>
      <c r="U5" s="11">
        <f ca="1">IF(D5&lt;&gt;0,复制!H3,NOW())</f>
        <v>43191.91510416667</v>
      </c>
      <c r="V5" s="11">
        <f ca="1">IF(D5&lt;&gt;0,复制!I3,NOW())</f>
        <v>42976.788611111115</v>
      </c>
      <c r="W5" s="11">
        <f ca="1">IF(D5&lt;&gt;0,复制!J3,NOW())</f>
        <v>43197</v>
      </c>
      <c r="Y5" s="6">
        <v>3</v>
      </c>
    </row>
    <row r="6" spans="1:33" x14ac:dyDescent="0.15">
      <c r="A6" s="6" t="s">
        <v>6</v>
      </c>
      <c r="C6" s="6" t="s">
        <v>5</v>
      </c>
      <c r="D6" s="6" t="str">
        <f>复制!A15</f>
        <v>windowglass</v>
      </c>
      <c r="E6" s="6" t="s">
        <v>7</v>
      </c>
      <c r="F6" s="6" t="str">
        <f>复制!B15</f>
        <v>天涯孤客｜无关爱情好声音</v>
      </c>
      <c r="G6" s="6" t="s">
        <v>8</v>
      </c>
      <c r="H6" s="6" t="str">
        <f>复制!C15</f>
        <v>/cn/@windowglass/4qiumd</v>
      </c>
      <c r="I6" s="6" t="s">
        <v>9</v>
      </c>
      <c r="J6" s="6">
        <f>复制!D15</f>
        <v>0.95099999999999996</v>
      </c>
      <c r="K6" s="6" t="s">
        <v>6</v>
      </c>
      <c r="L6" s="6">
        <f>复制!E15</f>
        <v>8</v>
      </c>
      <c r="M6" s="6" t="s">
        <v>6</v>
      </c>
      <c r="N6" s="6">
        <f>复制!F15</f>
        <v>10</v>
      </c>
      <c r="O6" s="6" t="s">
        <v>6</v>
      </c>
      <c r="P6" s="6">
        <f>复制!G15</f>
        <v>15</v>
      </c>
      <c r="Q6" s="6" t="s">
        <v>6</v>
      </c>
      <c r="R6" s="18">
        <f t="shared" si="0"/>
        <v>1.2</v>
      </c>
      <c r="S6" s="8" t="s">
        <v>6</v>
      </c>
      <c r="U6" s="11">
        <f ca="1">IF(D6&lt;&gt;0,复制!H15,NOW())</f>
        <v>43194.986805555556</v>
      </c>
      <c r="V6" s="11">
        <f ca="1">IF(D6&lt;&gt;0,复制!I15,NOW())</f>
        <v>43017.511145833334</v>
      </c>
      <c r="W6" s="11">
        <f ca="1">IF(D6&lt;&gt;0,复制!J15,NOW())</f>
        <v>43197</v>
      </c>
      <c r="Y6" s="6">
        <v>15</v>
      </c>
    </row>
    <row r="7" spans="1:33" x14ac:dyDescent="0.15">
      <c r="A7" s="6" t="s">
        <v>6</v>
      </c>
      <c r="C7" s="6" t="s">
        <v>5</v>
      </c>
      <c r="D7" s="6" t="str">
        <f>复制!A18</f>
        <v>crowflew</v>
      </c>
      <c r="E7" s="6" t="s">
        <v>7</v>
      </c>
      <c r="F7" s="6" t="str">
        <f>复制!B18</f>
        <v>说话时间｜无关爱情好声音#16｜三个一</v>
      </c>
      <c r="G7" s="6" t="s">
        <v>8</v>
      </c>
      <c r="H7" s="6" t="str">
        <f>复制!C18</f>
        <v>/cn/@crowflew/or-16-or</v>
      </c>
      <c r="I7" s="6" t="s">
        <v>9</v>
      </c>
      <c r="J7" s="6">
        <f>复制!D18</f>
        <v>9.4E-2</v>
      </c>
      <c r="K7" s="6" t="s">
        <v>6</v>
      </c>
      <c r="L7" s="6">
        <f>复制!E18</f>
        <v>6</v>
      </c>
      <c r="M7" s="6" t="s">
        <v>6</v>
      </c>
      <c r="N7" s="6">
        <f>复制!F18</f>
        <v>10</v>
      </c>
      <c r="O7" s="6" t="s">
        <v>6</v>
      </c>
      <c r="P7" s="6">
        <f>复制!G18</f>
        <v>14</v>
      </c>
      <c r="Q7" s="6" t="s">
        <v>6</v>
      </c>
      <c r="R7" s="18">
        <f t="shared" si="0"/>
        <v>1.1428571428571428</v>
      </c>
      <c r="S7" s="8" t="s">
        <v>6</v>
      </c>
      <c r="U7" s="11">
        <f ca="1">IF(D7&lt;&gt;0,复制!H18,NOW())</f>
        <v>43195.895173611112</v>
      </c>
      <c r="V7" s="11">
        <f ca="1">IF(D7&lt;&gt;0,复制!I18,NOW())</f>
        <v>43142.438402777778</v>
      </c>
      <c r="W7" s="11">
        <f ca="1">IF(D7&lt;&gt;0,复制!J18,NOW())</f>
        <v>43197</v>
      </c>
      <c r="Y7" s="6">
        <v>18</v>
      </c>
    </row>
    <row r="8" spans="1:33" x14ac:dyDescent="0.15">
      <c r="A8" s="6" t="s">
        <v>6</v>
      </c>
      <c r="C8" s="6" t="s">
        <v>5</v>
      </c>
      <c r="D8" s="6" t="str">
        <f>复制!A8</f>
        <v>windowglass</v>
      </c>
      <c r="E8" s="6" t="s">
        <v>7</v>
      </c>
      <c r="F8" s="6" t="str">
        <f>复制!B8</f>
        <v>【合唱邀请】哪里的天空不下雨｜无关爱情好声音</v>
      </c>
      <c r="G8" s="6" t="s">
        <v>8</v>
      </c>
      <c r="H8" s="6" t="str">
        <f>复制!C8</f>
        <v>/cn/@windowglass/yzpfr</v>
      </c>
      <c r="I8" s="6" t="s">
        <v>9</v>
      </c>
      <c r="J8" s="6">
        <f>复制!D8</f>
        <v>0.71099999999999997</v>
      </c>
      <c r="K8" s="6" t="s">
        <v>6</v>
      </c>
      <c r="L8" s="6">
        <f>复制!E8</f>
        <v>9</v>
      </c>
      <c r="M8" s="6" t="s">
        <v>6</v>
      </c>
      <c r="N8" s="6">
        <f>复制!F8</f>
        <v>10</v>
      </c>
      <c r="O8" s="6" t="s">
        <v>6</v>
      </c>
      <c r="P8" s="6">
        <f>复制!G8</f>
        <v>18</v>
      </c>
      <c r="Q8" s="6" t="s">
        <v>6</v>
      </c>
      <c r="R8" s="18">
        <f t="shared" si="0"/>
        <v>1.0555555555555556</v>
      </c>
      <c r="S8" s="8" t="s">
        <v>6</v>
      </c>
      <c r="U8" s="11">
        <f ca="1">IF(D8&lt;&gt;0,复制!H8,NOW())</f>
        <v>43192.999930555554</v>
      </c>
      <c r="V8" s="11">
        <f ca="1">IF(D8&lt;&gt;0,复制!I8,NOW())</f>
        <v>43017.511145833334</v>
      </c>
      <c r="W8" s="11">
        <f ca="1">IF(D8&lt;&gt;0,复制!J8,NOW())</f>
        <v>43197</v>
      </c>
      <c r="Y8" s="6">
        <v>8</v>
      </c>
    </row>
    <row r="9" spans="1:33" x14ac:dyDescent="0.15">
      <c r="A9" s="6" t="s">
        <v>6</v>
      </c>
      <c r="C9" s="6" t="s">
        <v>5</v>
      </c>
      <c r="D9" s="6" t="str">
        <f>复制!A16</f>
        <v>janicechua</v>
      </c>
      <c r="E9" s="6" t="s">
        <v>7</v>
      </c>
      <c r="F9" s="6" t="str">
        <f>复制!B16</f>
        <v>Music Challenge D 音乐挑战-七首喜爱歌曲之四《宝贝》无关爱情好声音</v>
      </c>
      <c r="G9" s="6" t="s">
        <v>8</v>
      </c>
      <c r="H9" s="6" t="str">
        <f>复制!C16</f>
        <v>/cn-malaysia/@janicechua/3ajtna</v>
      </c>
      <c r="I9" s="6" t="s">
        <v>9</v>
      </c>
      <c r="J9" s="6">
        <f>复制!D16</f>
        <v>1.579</v>
      </c>
      <c r="K9" s="6" t="s">
        <v>6</v>
      </c>
      <c r="L9" s="6">
        <f>复制!E16</f>
        <v>5</v>
      </c>
      <c r="M9" s="6" t="s">
        <v>6</v>
      </c>
      <c r="N9" s="6">
        <f>复制!F16</f>
        <v>65</v>
      </c>
      <c r="O9" s="6" t="s">
        <v>6</v>
      </c>
      <c r="P9" s="6">
        <f>复制!G16</f>
        <v>68</v>
      </c>
      <c r="Q9" s="6" t="s">
        <v>6</v>
      </c>
      <c r="R9" s="18">
        <f t="shared" si="0"/>
        <v>1.0294117647058822</v>
      </c>
      <c r="S9" s="8" t="s">
        <v>6</v>
      </c>
      <c r="U9" s="11">
        <f ca="1">IF(D9&lt;&gt;0,复制!H16,NOW())</f>
        <v>43195.530729166669</v>
      </c>
      <c r="V9" s="11">
        <f ca="1">IF(D9&lt;&gt;0,复制!I16,NOW())</f>
        <v>43137.694687499999</v>
      </c>
      <c r="W9" s="11">
        <f ca="1">IF(D9&lt;&gt;0,复制!J16,NOW())</f>
        <v>43197</v>
      </c>
      <c r="Y9" s="6">
        <v>16</v>
      </c>
    </row>
    <row r="10" spans="1:33" x14ac:dyDescent="0.15">
      <c r="A10" s="6" t="s">
        <v>6</v>
      </c>
      <c r="C10" s="6" t="s">
        <v>5</v>
      </c>
      <c r="D10" s="6" t="str">
        <f>复制!A9</f>
        <v>jaffer</v>
      </c>
      <c r="E10" s="6" t="s">
        <v>7</v>
      </c>
      <c r="F10" s="6" t="str">
        <f>复制!B9</f>
        <v>一声朋友一生情｜无关爱情好声音｜Music Challenge F</v>
      </c>
      <c r="G10" s="6" t="s">
        <v>8</v>
      </c>
      <c r="H10" s="6" t="str">
        <f>复制!C9</f>
        <v>/cn/@jaffer/weghf-or</v>
      </c>
      <c r="I10" s="6" t="s">
        <v>9</v>
      </c>
      <c r="J10" s="6">
        <f>复制!D9</f>
        <v>0.2</v>
      </c>
      <c r="K10" s="6" t="s">
        <v>6</v>
      </c>
      <c r="L10" s="6">
        <f>复制!E9</f>
        <v>7</v>
      </c>
      <c r="M10" s="6" t="s">
        <v>6</v>
      </c>
      <c r="N10" s="6">
        <f>复制!F9</f>
        <v>4</v>
      </c>
      <c r="O10" s="6" t="s">
        <v>6</v>
      </c>
      <c r="P10" s="6">
        <f>复制!G9</f>
        <v>11</v>
      </c>
      <c r="Q10" s="6" t="s">
        <v>6</v>
      </c>
      <c r="R10" s="18">
        <f t="shared" si="0"/>
        <v>1</v>
      </c>
      <c r="S10" s="8" t="s">
        <v>6</v>
      </c>
      <c r="U10" s="11">
        <f ca="1">IF(D10&lt;&gt;0,复制!H9,NOW())</f>
        <v>43193.949756944443</v>
      </c>
      <c r="V10" s="11">
        <f ca="1">IF(D10&lt;&gt;0,复制!I9,NOW())</f>
        <v>43172.783472222225</v>
      </c>
      <c r="W10" s="11">
        <f ca="1">IF(D10&lt;&gt;0,复制!J9,NOW())</f>
        <v>43197</v>
      </c>
      <c r="Y10" s="6">
        <v>9</v>
      </c>
    </row>
    <row r="11" spans="1:33" x14ac:dyDescent="0.15">
      <c r="A11" s="6" t="s">
        <v>6</v>
      </c>
      <c r="C11" s="6" t="s">
        <v>5</v>
      </c>
      <c r="D11" s="6" t="str">
        <f>复制!A14</f>
        <v>kokuryo</v>
      </c>
      <c r="E11" s="6" t="s">
        <v>7</v>
      </c>
      <c r="F11" s="6" t="str">
        <f>复制!B14</f>
        <v>《陀飞轮》｜ 华语好声音·无关爱情好声音</v>
      </c>
      <c r="G11" s="6" t="s">
        <v>8</v>
      </c>
      <c r="H11" s="6" t="str">
        <f>复制!C14</f>
        <v>/cn/@kokuryo/or</v>
      </c>
      <c r="I11" s="6" t="s">
        <v>9</v>
      </c>
      <c r="J11" s="6">
        <f>复制!D14</f>
        <v>1.974</v>
      </c>
      <c r="K11" s="6" t="s">
        <v>6</v>
      </c>
      <c r="L11" s="6">
        <f>复制!E14</f>
        <v>2</v>
      </c>
      <c r="M11" s="6" t="s">
        <v>6</v>
      </c>
      <c r="N11" s="6">
        <f>复制!F14</f>
        <v>75</v>
      </c>
      <c r="O11" s="6" t="s">
        <v>6</v>
      </c>
      <c r="P11" s="6">
        <f>复制!G14</f>
        <v>78</v>
      </c>
      <c r="Q11" s="6" t="s">
        <v>6</v>
      </c>
      <c r="R11" s="18">
        <f t="shared" si="0"/>
        <v>0.98717948717948723</v>
      </c>
      <c r="S11" s="8" t="s">
        <v>6</v>
      </c>
      <c r="U11" s="11">
        <f ca="1">IF(D11&lt;&gt;0,复制!H14,NOW())</f>
        <v>43194.817187499997</v>
      </c>
      <c r="V11" s="11">
        <f ca="1">IF(D11&lt;&gt;0,复制!I14,NOW())</f>
        <v>43077.329340277778</v>
      </c>
      <c r="W11" s="11">
        <f ca="1">IF(D11&lt;&gt;0,复制!J14,NOW())</f>
        <v>43197</v>
      </c>
      <c r="Y11" s="6">
        <v>14</v>
      </c>
    </row>
    <row r="12" spans="1:33" x14ac:dyDescent="0.15">
      <c r="A12" s="6" t="s">
        <v>6</v>
      </c>
      <c r="C12" s="6" t="s">
        <v>5</v>
      </c>
      <c r="D12" s="6" t="str">
        <f>复制!A17</f>
        <v>davidke20</v>
      </c>
      <c r="E12" s="6" t="s">
        <v>7</v>
      </c>
      <c r="F12" s="6" t="str">
        <f>复制!B17</f>
        <v>无关爱情好声音 《私心》-异种乐队 ∣ 三个一 “年少时”</v>
      </c>
      <c r="G12" s="6" t="s">
        <v>8</v>
      </c>
      <c r="H12" s="6" t="str">
        <f>复制!C17</f>
        <v>/cn/@davidke20/7rcud7</v>
      </c>
      <c r="I12" s="6" t="s">
        <v>9</v>
      </c>
      <c r="J12" s="6">
        <f>复制!D17</f>
        <v>2.5070000000000001</v>
      </c>
      <c r="K12" s="6" t="s">
        <v>6</v>
      </c>
      <c r="L12" s="6">
        <f>复制!E17</f>
        <v>12</v>
      </c>
      <c r="M12" s="6" t="s">
        <v>6</v>
      </c>
      <c r="N12" s="6">
        <f>复制!F17</f>
        <v>57</v>
      </c>
      <c r="O12" s="6" t="s">
        <v>6</v>
      </c>
      <c r="P12" s="6">
        <f>复制!G17</f>
        <v>75</v>
      </c>
      <c r="Q12" s="6" t="s">
        <v>6</v>
      </c>
      <c r="R12" s="18">
        <f t="shared" si="0"/>
        <v>0.92</v>
      </c>
      <c r="S12" s="8" t="s">
        <v>6</v>
      </c>
      <c r="U12" s="11">
        <f ca="1">IF(D12&lt;&gt;0,复制!H17,NOW())</f>
        <v>43195.551145833335</v>
      </c>
      <c r="V12" s="11">
        <f ca="1">IF(D12&lt;&gt;0,复制!I17,NOW())</f>
        <v>42963.379930555559</v>
      </c>
      <c r="W12" s="11">
        <f ca="1">IF(D12&lt;&gt;0,复制!J17,NOW())</f>
        <v>43197</v>
      </c>
      <c r="Y12" s="6">
        <v>17</v>
      </c>
    </row>
    <row r="13" spans="1:33" x14ac:dyDescent="0.15">
      <c r="A13" s="6" t="s">
        <v>6</v>
      </c>
      <c r="C13" s="6" t="s">
        <v>5</v>
      </c>
      <c r="D13" s="6" t="str">
        <f>复制!A19</f>
        <v>april6th</v>
      </c>
      <c r="E13" s="6" t="s">
        <v>7</v>
      </c>
      <c r="F13" s="6" t="str">
        <f>复制!B19</f>
        <v>应征对唱：吉祥三宝｜和dapeng男神一起唱的 ｜ 无关爱情好声音</v>
      </c>
      <c r="G13" s="6" t="s">
        <v>8</v>
      </c>
      <c r="H13" s="6" t="str">
        <f>复制!C19</f>
        <v>/cn/@april6th/or-dapeng-or</v>
      </c>
      <c r="I13" s="6" t="s">
        <v>9</v>
      </c>
      <c r="J13" s="6">
        <f>复制!D19</f>
        <v>0.69099999999999995</v>
      </c>
      <c r="K13" s="6" t="s">
        <v>6</v>
      </c>
      <c r="L13" s="6">
        <f>复制!E19</f>
        <v>2</v>
      </c>
      <c r="M13" s="6" t="s">
        <v>6</v>
      </c>
      <c r="N13" s="6">
        <f>复制!F19</f>
        <v>4</v>
      </c>
      <c r="O13" s="6" t="s">
        <v>6</v>
      </c>
      <c r="P13" s="6">
        <f>复制!G19</f>
        <v>7</v>
      </c>
      <c r="Q13" s="6" t="s">
        <v>6</v>
      </c>
      <c r="R13" s="18">
        <f t="shared" si="0"/>
        <v>0.8571428571428571</v>
      </c>
      <c r="S13" s="8" t="s">
        <v>6</v>
      </c>
      <c r="U13" s="11">
        <f ca="1">IF(D13&lt;&gt;0,复制!H19,NOW())</f>
        <v>43195.971562500003</v>
      </c>
      <c r="V13" s="11">
        <f ca="1">IF(D13&lt;&gt;0,复制!I19,NOW())</f>
        <v>43143.751354166663</v>
      </c>
      <c r="W13" s="11">
        <f ca="1">IF(D13&lt;&gt;0,复制!J19,NOW())</f>
        <v>43197</v>
      </c>
      <c r="Y13" s="6">
        <v>19</v>
      </c>
    </row>
    <row r="14" spans="1:33" x14ac:dyDescent="0.15">
      <c r="A14" s="6" t="s">
        <v>6</v>
      </c>
      <c r="C14" s="6" t="s">
        <v>5</v>
      </c>
      <c r="D14" s="6" t="str">
        <f>复制!A2</f>
        <v>winniex</v>
      </c>
      <c r="E14" s="6" t="s">
        <v>7</v>
      </c>
      <c r="F14" s="6" t="str">
        <f>复制!B2</f>
        <v>《沉默的表示》+《青藏高原》-- 华语好声音·无关爱情好声音-- Music Challenge A</v>
      </c>
      <c r="G14" s="6" t="s">
        <v>8</v>
      </c>
      <c r="H14" s="6" t="str">
        <f>复制!C2</f>
        <v>/cn/@winniex/music-challenge-a</v>
      </c>
      <c r="I14" s="6" t="s">
        <v>9</v>
      </c>
      <c r="J14" s="6">
        <f>复制!D2</f>
        <v>4.0720000000000001</v>
      </c>
      <c r="K14" s="6" t="s">
        <v>6</v>
      </c>
      <c r="L14" s="6">
        <f>复制!E2</f>
        <v>13</v>
      </c>
      <c r="M14" s="6" t="s">
        <v>6</v>
      </c>
      <c r="N14" s="6">
        <f>复制!F2</f>
        <v>79</v>
      </c>
      <c r="O14" s="6" t="s">
        <v>6</v>
      </c>
      <c r="P14" s="6">
        <f>复制!G2</f>
        <v>109</v>
      </c>
      <c r="Q14" s="6" t="s">
        <v>6</v>
      </c>
      <c r="R14" s="18">
        <f t="shared" si="0"/>
        <v>0.84403669724770647</v>
      </c>
      <c r="S14" s="8" t="s">
        <v>6</v>
      </c>
      <c r="U14" s="11">
        <f ca="1">IF(D14&lt;&gt;0,复制!H2,NOW())</f>
        <v>43191.800833333335</v>
      </c>
      <c r="V14" s="11">
        <f ca="1">IF(D14&lt;&gt;0,复制!I2,NOW())</f>
        <v>42998.54215277778</v>
      </c>
      <c r="W14" s="11">
        <f ca="1">IF(D14&lt;&gt;0,复制!J2,NOW())</f>
        <v>43197</v>
      </c>
      <c r="Y14" s="6">
        <v>2</v>
      </c>
    </row>
    <row r="15" spans="1:33" x14ac:dyDescent="0.15">
      <c r="A15" s="6" t="s">
        <v>6</v>
      </c>
      <c r="C15" s="6" t="s">
        <v>5</v>
      </c>
      <c r="D15" s="6" t="str">
        <f>复制!A1</f>
        <v>winniex</v>
      </c>
      <c r="E15" s="6" t="s">
        <v>7</v>
      </c>
      <c r="F15" s="6" t="str">
        <f>复制!B1</f>
        <v>生病+《摇篮曲》 ｜ 华语好声音·无关爱情好声音</v>
      </c>
      <c r="G15" s="6" t="s">
        <v>8</v>
      </c>
      <c r="H15" s="6" t="str">
        <f>复制!C1</f>
        <v>/cn/@winniex/3aevfw</v>
      </c>
      <c r="I15" s="6" t="s">
        <v>9</v>
      </c>
      <c r="J15" s="6">
        <f>复制!D1</f>
        <v>4.0629999999999997</v>
      </c>
      <c r="K15" s="6" t="s">
        <v>6</v>
      </c>
      <c r="L15" s="6">
        <f>复制!E1</f>
        <v>9</v>
      </c>
      <c r="M15" s="6" t="s">
        <v>6</v>
      </c>
      <c r="N15" s="6">
        <f>复制!F1</f>
        <v>45</v>
      </c>
      <c r="O15" s="6" t="s">
        <v>6</v>
      </c>
      <c r="P15" s="6">
        <f>复制!G1</f>
        <v>64</v>
      </c>
      <c r="Q15" s="6" t="s">
        <v>6</v>
      </c>
      <c r="R15" s="18">
        <f t="shared" si="0"/>
        <v>0.84375</v>
      </c>
      <c r="S15" s="8" t="s">
        <v>6</v>
      </c>
      <c r="U15" s="11">
        <f ca="1">IF(D15&lt;&gt;0,复制!H1,NOW())</f>
        <v>43190.767500000002</v>
      </c>
      <c r="V15" s="11">
        <f ca="1">IF(D15&lt;&gt;0,复制!I1,NOW())</f>
        <v>42998.54215277778</v>
      </c>
      <c r="W15" s="11">
        <f ca="1">IF(D15&lt;&gt;0,复制!J1,NOW())</f>
        <v>43197</v>
      </c>
      <c r="Y15" s="6">
        <v>1</v>
      </c>
    </row>
    <row r="16" spans="1:33" x14ac:dyDescent="0.15">
      <c r="A16" s="6" t="s">
        <v>6</v>
      </c>
      <c r="C16" s="6" t="s">
        <v>5</v>
      </c>
      <c r="D16" s="6" t="str">
        <f>复制!A20</f>
        <v>windowglass</v>
      </c>
      <c r="E16" s="6" t="s">
        <v>7</v>
      </c>
      <c r="F16" s="6" t="str">
        <f>复制!B20</f>
        <v>【合唱邀请】祈祷｜无关爱情好声音</v>
      </c>
      <c r="G16" s="6" t="s">
        <v>8</v>
      </c>
      <c r="H16" s="6" t="str">
        <f>复制!C20</f>
        <v>/cn/@windowglass/auv4b</v>
      </c>
      <c r="I16" s="6" t="s">
        <v>9</v>
      </c>
      <c r="J16" s="6">
        <f>复制!D20</f>
        <v>0.96599999999999997</v>
      </c>
      <c r="K16" s="6" t="s">
        <v>6</v>
      </c>
      <c r="L16" s="6">
        <f>复制!E20</f>
        <v>4</v>
      </c>
      <c r="M16" s="6" t="s">
        <v>6</v>
      </c>
      <c r="N16" s="6">
        <f>复制!F20</f>
        <v>12</v>
      </c>
      <c r="O16" s="6" t="s">
        <v>6</v>
      </c>
      <c r="P16" s="6">
        <f>复制!G20</f>
        <v>19</v>
      </c>
      <c r="Q16" s="6" t="s">
        <v>6</v>
      </c>
      <c r="R16" s="18">
        <f t="shared" si="0"/>
        <v>0.84210526315789469</v>
      </c>
      <c r="S16" s="8" t="s">
        <v>6</v>
      </c>
      <c r="U16" s="11">
        <f ca="1">IF(D16&lt;&gt;0,复制!H20,NOW())</f>
        <v>43195.99145833333</v>
      </c>
      <c r="V16" s="11">
        <f ca="1">IF(D16&lt;&gt;0,复制!I20,NOW())</f>
        <v>43017.511145833334</v>
      </c>
      <c r="W16" s="11">
        <f ca="1">IF(D16&lt;&gt;0,复制!J20,NOW())</f>
        <v>43197</v>
      </c>
      <c r="Y16" s="6">
        <v>20</v>
      </c>
    </row>
    <row r="17" spans="1:25" x14ac:dyDescent="0.15">
      <c r="A17" s="6" t="s">
        <v>6</v>
      </c>
      <c r="C17" s="6" t="s">
        <v>5</v>
      </c>
      <c r="D17" s="6" t="str">
        <f>复制!A11</f>
        <v>davidke20</v>
      </c>
      <c r="E17" s="6" t="s">
        <v>7</v>
      </c>
      <c r="F17" s="6" t="str">
        <f>复制!B11</f>
        <v>无关爱情好声音 Beyond 《爸爸妈妈》</v>
      </c>
      <c r="G17" s="6" t="s">
        <v>8</v>
      </c>
      <c r="H17" s="6" t="str">
        <f>复制!C11</f>
        <v>/cn/@davidke20/beyond</v>
      </c>
      <c r="I17" s="6" t="s">
        <v>9</v>
      </c>
      <c r="J17" s="6">
        <f>复制!D11</f>
        <v>3.2549999999999999</v>
      </c>
      <c r="K17" s="6" t="s">
        <v>6</v>
      </c>
      <c r="L17" s="6">
        <f>复制!E11</f>
        <v>9</v>
      </c>
      <c r="M17" s="6" t="s">
        <v>6</v>
      </c>
      <c r="N17" s="6">
        <f>复制!F11</f>
        <v>101</v>
      </c>
      <c r="O17" s="6" t="s">
        <v>6</v>
      </c>
      <c r="P17" s="6">
        <f>复制!G11</f>
        <v>132</v>
      </c>
      <c r="Q17" s="6" t="s">
        <v>6</v>
      </c>
      <c r="R17" s="18">
        <f t="shared" si="0"/>
        <v>0.83333333333333337</v>
      </c>
      <c r="S17" s="8" t="s">
        <v>6</v>
      </c>
      <c r="U17" s="11">
        <f ca="1">IF(D17&lt;&gt;0,复制!H11,NOW())</f>
        <v>43194.528020833335</v>
      </c>
      <c r="V17" s="11">
        <f ca="1">IF(D17&lt;&gt;0,复制!I11,NOW())</f>
        <v>42963.379930555559</v>
      </c>
      <c r="W17" s="11">
        <f ca="1">IF(D17&lt;&gt;0,复制!J11,NOW())</f>
        <v>43197</v>
      </c>
      <c r="Y17" s="6">
        <v>11</v>
      </c>
    </row>
    <row r="18" spans="1:25" x14ac:dyDescent="0.15">
      <c r="A18" s="6" t="s">
        <v>6</v>
      </c>
      <c r="C18" s="6" t="s">
        <v>5</v>
      </c>
      <c r="D18" s="6" t="str">
        <f>复制!A6</f>
        <v>davidke20</v>
      </c>
      <c r="E18" s="6" t="s">
        <v>7</v>
      </c>
      <c r="F18" s="6" t="str">
        <f>复制!B6</f>
        <v>没事业成就，更无关爱情好声音 ｜ 廿几岁时的《阿博》 - 三个一</v>
      </c>
      <c r="G18" s="6" t="s">
        <v>8</v>
      </c>
      <c r="H18" s="6" t="str">
        <f>复制!C6</f>
        <v>/cn/@davidke20/7er2qk-or</v>
      </c>
      <c r="I18" s="6" t="s">
        <v>9</v>
      </c>
      <c r="J18" s="6">
        <f>复制!D6</f>
        <v>2.056</v>
      </c>
      <c r="K18" s="6" t="s">
        <v>6</v>
      </c>
      <c r="L18" s="6">
        <f>复制!E6</f>
        <v>11</v>
      </c>
      <c r="M18" s="6" t="s">
        <v>6</v>
      </c>
      <c r="N18" s="6">
        <f>复制!F6</f>
        <v>82</v>
      </c>
      <c r="O18" s="6" t="s">
        <v>6</v>
      </c>
      <c r="P18" s="6">
        <f>复制!G6</f>
        <v>124</v>
      </c>
      <c r="Q18" s="6" t="s">
        <v>6</v>
      </c>
      <c r="R18" s="18">
        <f t="shared" si="0"/>
        <v>0.75</v>
      </c>
      <c r="S18" s="8" t="s">
        <v>6</v>
      </c>
      <c r="U18" s="11">
        <f ca="1">IF(D18&lt;&gt;0,复制!H6,NOW())</f>
        <v>43192.580694444441</v>
      </c>
      <c r="V18" s="11">
        <f ca="1">IF(D18&lt;&gt;0,复制!I6,NOW())</f>
        <v>42963.379930555559</v>
      </c>
      <c r="W18" s="11">
        <f ca="1">IF(D18&lt;&gt;0,复制!J6,NOW())</f>
        <v>43197</v>
      </c>
      <c r="Y18" s="6">
        <v>6</v>
      </c>
    </row>
    <row r="19" spans="1:25" x14ac:dyDescent="0.15">
      <c r="A19" s="6" t="s">
        <v>6</v>
      </c>
      <c r="C19" s="6" t="s">
        <v>5</v>
      </c>
      <c r="D19" s="6" t="str">
        <f>复制!A10</f>
        <v>dapeng</v>
      </c>
      <c r="E19" s="6" t="s">
        <v>7</v>
      </c>
      <c r="F19" s="6" t="str">
        <f>复制!B10</f>
        <v>征对唱：吉祥三宝 ｜ 无关爱情好声音</v>
      </c>
      <c r="G19" s="6" t="s">
        <v>8</v>
      </c>
      <c r="H19" s="6" t="str">
        <f>复制!C10</f>
        <v>/cn/@dapeng/jixiangsanbao</v>
      </c>
      <c r="I19" s="6" t="s">
        <v>9</v>
      </c>
      <c r="J19" s="6">
        <f>复制!D10</f>
        <v>5.0469999999999997</v>
      </c>
      <c r="K19" s="6" t="s">
        <v>6</v>
      </c>
      <c r="L19" s="6">
        <f>复制!E10</f>
        <v>8</v>
      </c>
      <c r="M19" s="6" t="s">
        <v>6</v>
      </c>
      <c r="N19" s="6">
        <f>复制!F10</f>
        <v>18</v>
      </c>
      <c r="O19" s="6" t="s">
        <v>6</v>
      </c>
      <c r="P19" s="6">
        <f>复制!G10</f>
        <v>35</v>
      </c>
      <c r="Q19" s="6" t="s">
        <v>6</v>
      </c>
      <c r="R19" s="18">
        <f t="shared" si="0"/>
        <v>0.74285714285714288</v>
      </c>
      <c r="S19" s="8" t="s">
        <v>6</v>
      </c>
      <c r="U19" s="11">
        <f ca="1">IF(D19&lt;&gt;0,复制!H10,NOW())</f>
        <v>43194.257361111115</v>
      </c>
      <c r="V19" s="11">
        <f ca="1">IF(D19&lt;&gt;0,复制!I10,NOW())</f>
        <v>42657.79420138889</v>
      </c>
      <c r="W19" s="11">
        <f ca="1">IF(D19&lt;&gt;0,复制!J10,NOW())</f>
        <v>43197</v>
      </c>
      <c r="Y19" s="6">
        <v>10</v>
      </c>
    </row>
    <row r="20" spans="1:25" x14ac:dyDescent="0.15">
      <c r="A20" s="6" t="s">
        <v>6</v>
      </c>
      <c r="C20" s="6" t="s">
        <v>5</v>
      </c>
      <c r="D20" s="6" t="str">
        <f>复制!A13</f>
        <v>winniex</v>
      </c>
      <c r="E20" s="6" t="s">
        <v>7</v>
      </c>
      <c r="F20" s="6" t="str">
        <f>复制!B13</f>
        <v>《让我拥抱你入梦》｜ 华语好声音·无关爱情好声音-- Music Challenge B</v>
      </c>
      <c r="G20" s="6" t="s">
        <v>8</v>
      </c>
      <c r="H20" s="6" t="str">
        <f>复制!C13</f>
        <v>/cn/@winniex/or-music-challenge-b</v>
      </c>
      <c r="I20" s="6" t="s">
        <v>9</v>
      </c>
      <c r="J20" s="6">
        <f>复制!D13</f>
        <v>2.7930000000000001</v>
      </c>
      <c r="K20" s="6" t="s">
        <v>6</v>
      </c>
      <c r="L20" s="6">
        <f>复制!E13</f>
        <v>10</v>
      </c>
      <c r="M20" s="6" t="s">
        <v>6</v>
      </c>
      <c r="N20" s="6">
        <f>复制!F13</f>
        <v>28</v>
      </c>
      <c r="O20" s="6" t="s">
        <v>6</v>
      </c>
      <c r="P20" s="6">
        <f>复制!G13</f>
        <v>91</v>
      </c>
      <c r="Q20" s="6" t="s">
        <v>6</v>
      </c>
      <c r="R20" s="18">
        <f t="shared" si="0"/>
        <v>0.4175824175824176</v>
      </c>
      <c r="S20" s="8" t="s">
        <v>6</v>
      </c>
      <c r="U20" s="11">
        <f ca="1">IF(D20&lt;&gt;0,复制!H13,NOW())</f>
        <v>43194.571770833332</v>
      </c>
      <c r="V20" s="11">
        <f ca="1">IF(D20&lt;&gt;0,复制!I13,NOW())</f>
        <v>42998.54215277778</v>
      </c>
      <c r="W20" s="11">
        <f ca="1">IF(D20&lt;&gt;0,复制!J13,NOW())</f>
        <v>43197</v>
      </c>
      <c r="Y20" s="6">
        <v>13</v>
      </c>
    </row>
    <row r="21" spans="1:25" x14ac:dyDescent="0.15">
      <c r="A21" s="6" t="s">
        <v>6</v>
      </c>
      <c r="C21" s="6" t="s">
        <v>5</v>
      </c>
      <c r="D21" s="6" t="str">
        <f>复制!A12</f>
        <v>towardsthesun</v>
      </c>
      <c r="E21" s="6" t="s">
        <v>7</v>
      </c>
      <c r="F21" s="6" t="str">
        <f>复制!B12</f>
        <v>留下故事｜无关爱情好声音</v>
      </c>
      <c r="G21" s="6" t="s">
        <v>8</v>
      </c>
      <c r="H21" s="6" t="str">
        <f>复制!C12</f>
        <v>/cn/@towardsthesun/3de1fh-or</v>
      </c>
      <c r="I21" s="6" t="s">
        <v>9</v>
      </c>
      <c r="J21" s="6">
        <f>复制!D12</f>
        <v>0.501</v>
      </c>
      <c r="K21" s="6" t="s">
        <v>6</v>
      </c>
      <c r="L21" s="6">
        <f>复制!E12</f>
        <v>7</v>
      </c>
      <c r="M21" s="6" t="s">
        <v>6</v>
      </c>
      <c r="N21" s="6">
        <f>复制!F12</f>
        <v>8</v>
      </c>
      <c r="O21" s="6" t="s">
        <v>6</v>
      </c>
      <c r="P21" s="6">
        <f>复制!G12</f>
        <v>40</v>
      </c>
      <c r="Q21" s="6" t="s">
        <v>6</v>
      </c>
      <c r="R21" s="18">
        <f t="shared" si="0"/>
        <v>0.375</v>
      </c>
      <c r="S21" s="8" t="s">
        <v>6</v>
      </c>
      <c r="U21" s="11">
        <f ca="1">IF(D21&lt;&gt;0,复制!H12,NOW())</f>
        <v>43194.537777777776</v>
      </c>
      <c r="V21" s="11">
        <f ca="1">IF(D21&lt;&gt;0,复制!I12,NOW())</f>
        <v>42924.990173611113</v>
      </c>
      <c r="W21" s="11">
        <f ca="1">IF(D21&lt;&gt;0,复制!J12,NOW())</f>
        <v>43197</v>
      </c>
      <c r="Y21" s="6">
        <v>12</v>
      </c>
    </row>
    <row r="22" spans="1:25" x14ac:dyDescent="0.15">
      <c r="A22" s="6" t="s">
        <v>6</v>
      </c>
      <c r="C22" s="6" t="s">
        <v>5</v>
      </c>
      <c r="D22" s="6" t="str">
        <f>复制!A7</f>
        <v>winniex</v>
      </c>
      <c r="E22" s="6" t="s">
        <v>7</v>
      </c>
      <c r="F22" s="6" t="str">
        <f>复制!B7</f>
        <v>通俗地唱：《我和我的祖国》 ｜ 华语好声音·无关爱情好声音</v>
      </c>
      <c r="G22" s="6" t="s">
        <v>8</v>
      </c>
      <c r="H22" s="6" t="str">
        <f>复制!C7</f>
        <v>/cn/@winniex/4dhcxk</v>
      </c>
      <c r="I22" s="6" t="s">
        <v>9</v>
      </c>
      <c r="J22" s="6">
        <f>复制!D7</f>
        <v>3.5510000000000002</v>
      </c>
      <c r="K22" s="6" t="s">
        <v>6</v>
      </c>
      <c r="L22" s="6">
        <f>复制!E7</f>
        <v>10</v>
      </c>
      <c r="M22" s="6" t="s">
        <v>6</v>
      </c>
      <c r="N22" s="6">
        <f>复制!F7</f>
        <v>16</v>
      </c>
      <c r="O22" s="6" t="s">
        <v>6</v>
      </c>
      <c r="P22" s="6">
        <f>复制!G7</f>
        <v>84</v>
      </c>
      <c r="Q22" s="6" t="s">
        <v>6</v>
      </c>
      <c r="R22" s="18">
        <f t="shared" si="0"/>
        <v>0.30952380952380953</v>
      </c>
      <c r="S22" s="8" t="s">
        <v>6</v>
      </c>
      <c r="U22" s="11">
        <f ca="1">IF(D22&lt;&gt;0,复制!H7,NOW())</f>
        <v>43192.738125000003</v>
      </c>
      <c r="V22" s="11">
        <f ca="1">IF(D22&lt;&gt;0,复制!I7,NOW())</f>
        <v>42998.54215277778</v>
      </c>
      <c r="W22" s="11">
        <f ca="1">IF(D22&lt;&gt;0,复制!J7,NOW())</f>
        <v>43197</v>
      </c>
      <c r="Y22" s="6">
        <v>7</v>
      </c>
    </row>
    <row r="23" spans="1:25" x14ac:dyDescent="0.15">
      <c r="A23" s="6" t="s">
        <v>6</v>
      </c>
      <c r="C23" s="6" t="s">
        <v>5</v>
      </c>
      <c r="D23" s="6" t="str">
        <f>复制!A21</f>
        <v>pizzapai</v>
      </c>
      <c r="E23" s="6" t="s">
        <v>7</v>
      </c>
      <c r="F23" s="6" t="str">
        <f>复制!B21</f>
        <v>无关爱情好声音 ｜ 时间都去哪儿了</v>
      </c>
      <c r="G23" s="6" t="s">
        <v>8</v>
      </c>
      <c r="H23" s="6" t="str">
        <f>复制!C21</f>
        <v>/teammalaysia/@pizzapai/4dtnrw-or</v>
      </c>
      <c r="I23" s="6" t="s">
        <v>9</v>
      </c>
      <c r="J23" s="6">
        <f>复制!D21</f>
        <v>2.3690000000000002</v>
      </c>
      <c r="K23" s="6" t="s">
        <v>6</v>
      </c>
      <c r="L23" s="6">
        <f>复制!E21</f>
        <v>4</v>
      </c>
      <c r="M23" s="6" t="s">
        <v>6</v>
      </c>
      <c r="N23" s="6">
        <f>复制!F21</f>
        <v>1</v>
      </c>
      <c r="O23" s="6" t="s">
        <v>6</v>
      </c>
      <c r="P23" s="6">
        <f>复制!G21</f>
        <v>41</v>
      </c>
      <c r="Q23" s="6" t="s">
        <v>6</v>
      </c>
      <c r="R23" s="18">
        <f t="shared" si="0"/>
        <v>0.12195121951219512</v>
      </c>
      <c r="S23" s="8" t="s">
        <v>6</v>
      </c>
      <c r="U23" s="11">
        <f ca="1">IF(D23&lt;&gt;0,复制!H21,NOW())</f>
        <v>43196.92527777778</v>
      </c>
      <c r="V23" s="11">
        <f ca="1">IF(D23&lt;&gt;0,复制!I21,NOW())</f>
        <v>43110.880069444444</v>
      </c>
      <c r="W23" s="11">
        <f ca="1">IF(D23&lt;&gt;0,复制!J21,NOW())</f>
        <v>43197</v>
      </c>
      <c r="Y23" s="6">
        <v>21</v>
      </c>
    </row>
    <row r="24" spans="1:25" x14ac:dyDescent="0.15">
      <c r="A24" s="6" t="s">
        <v>6</v>
      </c>
      <c r="C24" s="6" t="s">
        <v>5</v>
      </c>
      <c r="E24" s="6" t="s">
        <v>7</v>
      </c>
      <c r="G24" s="6" t="s">
        <v>8</v>
      </c>
      <c r="I24" s="6" t="s">
        <v>9</v>
      </c>
      <c r="K24" s="6" t="s">
        <v>6</v>
      </c>
      <c r="M24" s="6" t="s">
        <v>6</v>
      </c>
      <c r="O24" s="6" t="s">
        <v>6</v>
      </c>
      <c r="Q24" s="6" t="s">
        <v>6</v>
      </c>
      <c r="S24" s="8" t="s">
        <v>6</v>
      </c>
      <c r="U24" s="11"/>
      <c r="V24" s="11"/>
      <c r="W24" s="11"/>
    </row>
    <row r="25" spans="1:25" x14ac:dyDescent="0.15">
      <c r="A25" s="6" t="s">
        <v>6</v>
      </c>
      <c r="C25" s="6" t="s">
        <v>5</v>
      </c>
      <c r="E25" s="6" t="s">
        <v>7</v>
      </c>
      <c r="G25" s="6" t="s">
        <v>8</v>
      </c>
      <c r="I25" s="6" t="s">
        <v>9</v>
      </c>
      <c r="K25" s="6" t="s">
        <v>6</v>
      </c>
      <c r="M25" s="6" t="s">
        <v>6</v>
      </c>
      <c r="O25" s="6" t="s">
        <v>6</v>
      </c>
      <c r="Q25" s="6" t="s">
        <v>6</v>
      </c>
      <c r="S25" s="8" t="s">
        <v>6</v>
      </c>
      <c r="U25" s="11"/>
      <c r="V25" s="11"/>
      <c r="W25" s="11"/>
    </row>
    <row r="26" spans="1:25" x14ac:dyDescent="0.15">
      <c r="A26" s="6" t="s">
        <v>6</v>
      </c>
      <c r="C26" s="6" t="s">
        <v>5</v>
      </c>
      <c r="E26" s="6" t="s">
        <v>7</v>
      </c>
      <c r="G26" s="6" t="s">
        <v>8</v>
      </c>
      <c r="I26" s="6" t="s">
        <v>9</v>
      </c>
      <c r="K26" s="6" t="s">
        <v>6</v>
      </c>
      <c r="M26" s="6" t="s">
        <v>6</v>
      </c>
      <c r="O26" s="6" t="s">
        <v>6</v>
      </c>
      <c r="Q26" s="6" t="s">
        <v>6</v>
      </c>
      <c r="S26" s="8" t="s">
        <v>6</v>
      </c>
      <c r="U26" s="11"/>
      <c r="V26" s="11"/>
      <c r="W26" s="11"/>
    </row>
    <row r="27" spans="1:25" x14ac:dyDescent="0.15">
      <c r="A27" s="6" t="s">
        <v>6</v>
      </c>
      <c r="C27" s="6" t="s">
        <v>5</v>
      </c>
      <c r="E27" s="6" t="s">
        <v>7</v>
      </c>
      <c r="G27" s="6" t="s">
        <v>8</v>
      </c>
      <c r="I27" s="6" t="s">
        <v>9</v>
      </c>
      <c r="K27" s="6" t="s">
        <v>6</v>
      </c>
      <c r="M27" s="6" t="s">
        <v>6</v>
      </c>
      <c r="O27" s="6" t="s">
        <v>6</v>
      </c>
      <c r="Q27" s="6" t="s">
        <v>6</v>
      </c>
      <c r="S27" s="8" t="s">
        <v>6</v>
      </c>
      <c r="U27" s="11"/>
      <c r="V27" s="11"/>
      <c r="W27" s="11"/>
    </row>
    <row r="28" spans="1:25" x14ac:dyDescent="0.15">
      <c r="A28" s="6" t="s">
        <v>6</v>
      </c>
      <c r="C28" s="6" t="s">
        <v>5</v>
      </c>
      <c r="E28" s="6" t="s">
        <v>7</v>
      </c>
      <c r="G28" s="6" t="s">
        <v>8</v>
      </c>
      <c r="I28" s="6" t="s">
        <v>9</v>
      </c>
      <c r="K28" s="6" t="s">
        <v>6</v>
      </c>
      <c r="M28" s="6" t="s">
        <v>6</v>
      </c>
      <c r="O28" s="6" t="s">
        <v>6</v>
      </c>
      <c r="Q28" s="6" t="s">
        <v>6</v>
      </c>
      <c r="S28" s="8" t="s">
        <v>6</v>
      </c>
      <c r="U28" s="11"/>
      <c r="V28" s="11"/>
      <c r="W28" s="11"/>
    </row>
    <row r="29" spans="1:25" x14ac:dyDescent="0.15">
      <c r="A29" s="6" t="s">
        <v>6</v>
      </c>
      <c r="C29" s="6" t="s">
        <v>5</v>
      </c>
      <c r="E29" s="6" t="s">
        <v>7</v>
      </c>
      <c r="G29" s="6" t="s">
        <v>8</v>
      </c>
      <c r="I29" s="6" t="s">
        <v>9</v>
      </c>
      <c r="K29" s="6" t="s">
        <v>6</v>
      </c>
      <c r="M29" s="6" t="s">
        <v>6</v>
      </c>
      <c r="O29" s="6" t="s">
        <v>6</v>
      </c>
      <c r="Q29" s="6" t="s">
        <v>6</v>
      </c>
      <c r="S29" s="8" t="s">
        <v>6</v>
      </c>
      <c r="U29" s="11"/>
      <c r="V29" s="11"/>
      <c r="W29" s="11"/>
    </row>
    <row r="30" spans="1:25" x14ac:dyDescent="0.15">
      <c r="A30" s="6" t="s">
        <v>6</v>
      </c>
      <c r="C30" s="6" t="s">
        <v>5</v>
      </c>
      <c r="E30" s="6" t="s">
        <v>7</v>
      </c>
      <c r="G30" s="6" t="s">
        <v>8</v>
      </c>
      <c r="I30" s="6" t="s">
        <v>9</v>
      </c>
      <c r="K30" s="6" t="s">
        <v>6</v>
      </c>
      <c r="M30" s="6" t="s">
        <v>6</v>
      </c>
      <c r="O30" s="6" t="s">
        <v>6</v>
      </c>
      <c r="Q30" s="6" t="s">
        <v>6</v>
      </c>
      <c r="S30" s="8" t="s">
        <v>6</v>
      </c>
      <c r="U30" s="11"/>
      <c r="V30" s="11"/>
      <c r="W30" s="11"/>
    </row>
    <row r="31" spans="1:25" x14ac:dyDescent="0.15">
      <c r="A31" s="6" t="s">
        <v>6</v>
      </c>
      <c r="C31" s="6" t="s">
        <v>5</v>
      </c>
      <c r="E31" s="6" t="s">
        <v>7</v>
      </c>
      <c r="G31" s="6" t="s">
        <v>8</v>
      </c>
      <c r="I31" s="6" t="s">
        <v>9</v>
      </c>
      <c r="K31" s="6" t="s">
        <v>6</v>
      </c>
      <c r="M31" s="6" t="s">
        <v>6</v>
      </c>
      <c r="O31" s="6" t="s">
        <v>6</v>
      </c>
      <c r="Q31" s="6" t="s">
        <v>6</v>
      </c>
      <c r="S31" s="8" t="s">
        <v>6</v>
      </c>
      <c r="U31" s="11"/>
      <c r="V31" s="11"/>
      <c r="W31" s="11"/>
    </row>
    <row r="32" spans="1:25" x14ac:dyDescent="0.15">
      <c r="A32" s="6" t="s">
        <v>6</v>
      </c>
      <c r="C32" s="6" t="s">
        <v>5</v>
      </c>
      <c r="E32" s="6" t="s">
        <v>7</v>
      </c>
      <c r="G32" s="6" t="s">
        <v>8</v>
      </c>
      <c r="I32" s="6" t="s">
        <v>9</v>
      </c>
      <c r="K32" s="6" t="s">
        <v>6</v>
      </c>
      <c r="M32" s="6" t="s">
        <v>6</v>
      </c>
      <c r="O32" s="6" t="s">
        <v>6</v>
      </c>
      <c r="Q32" s="6" t="s">
        <v>6</v>
      </c>
      <c r="S32" s="8" t="s">
        <v>6</v>
      </c>
      <c r="U32" s="11"/>
      <c r="V32" s="11"/>
      <c r="W32" s="11"/>
    </row>
    <row r="33" spans="1:23" x14ac:dyDescent="0.15">
      <c r="A33" s="6" t="s">
        <v>6</v>
      </c>
      <c r="C33" s="6" t="s">
        <v>5</v>
      </c>
      <c r="E33" s="6" t="s">
        <v>7</v>
      </c>
      <c r="G33" s="6" t="s">
        <v>8</v>
      </c>
      <c r="I33" s="6" t="s">
        <v>9</v>
      </c>
      <c r="K33" s="6" t="s">
        <v>6</v>
      </c>
      <c r="M33" s="6" t="s">
        <v>6</v>
      </c>
      <c r="O33" s="6" t="s">
        <v>6</v>
      </c>
      <c r="Q33" s="6" t="s">
        <v>6</v>
      </c>
      <c r="S33" s="8" t="s">
        <v>6</v>
      </c>
      <c r="U33" s="11"/>
      <c r="V33" s="11"/>
      <c r="W33" s="11"/>
    </row>
    <row r="34" spans="1:23" x14ac:dyDescent="0.15">
      <c r="A34" s="6" t="s">
        <v>6</v>
      </c>
      <c r="C34" s="6" t="s">
        <v>5</v>
      </c>
      <c r="E34" s="6" t="s">
        <v>7</v>
      </c>
      <c r="G34" s="6" t="s">
        <v>8</v>
      </c>
      <c r="I34" s="6" t="s">
        <v>9</v>
      </c>
      <c r="K34" s="6" t="s">
        <v>6</v>
      </c>
      <c r="M34" s="6" t="s">
        <v>6</v>
      </c>
      <c r="O34" s="6" t="s">
        <v>6</v>
      </c>
      <c r="Q34" s="6" t="s">
        <v>6</v>
      </c>
      <c r="S34" s="8" t="s">
        <v>6</v>
      </c>
      <c r="U34" s="11"/>
      <c r="V34" s="11"/>
      <c r="W34" s="11"/>
    </row>
    <row r="35" spans="1:23" x14ac:dyDescent="0.15">
      <c r="A35" s="6" t="s">
        <v>6</v>
      </c>
      <c r="C35" s="6" t="s">
        <v>5</v>
      </c>
      <c r="E35" s="6" t="s">
        <v>7</v>
      </c>
      <c r="G35" s="6" t="s">
        <v>8</v>
      </c>
      <c r="I35" s="6" t="s">
        <v>9</v>
      </c>
      <c r="K35" s="6" t="s">
        <v>6</v>
      </c>
      <c r="M35" s="6" t="s">
        <v>6</v>
      </c>
      <c r="O35" s="6" t="s">
        <v>6</v>
      </c>
      <c r="Q35" s="6" t="s">
        <v>6</v>
      </c>
      <c r="S35" s="8" t="s">
        <v>6</v>
      </c>
      <c r="U35" s="11"/>
      <c r="V35" s="11"/>
      <c r="W35" s="11"/>
    </row>
    <row r="36" spans="1:23" x14ac:dyDescent="0.15">
      <c r="A36" s="6" t="s">
        <v>6</v>
      </c>
      <c r="C36" s="6" t="s">
        <v>5</v>
      </c>
      <c r="E36" s="6" t="s">
        <v>7</v>
      </c>
      <c r="G36" s="6" t="s">
        <v>8</v>
      </c>
      <c r="I36" s="6" t="s">
        <v>9</v>
      </c>
      <c r="K36" s="6" t="s">
        <v>6</v>
      </c>
      <c r="M36" s="6" t="s">
        <v>6</v>
      </c>
      <c r="O36" s="6" t="s">
        <v>6</v>
      </c>
      <c r="Q36" s="6" t="s">
        <v>6</v>
      </c>
      <c r="S36" s="8" t="s">
        <v>6</v>
      </c>
      <c r="U36" s="11"/>
      <c r="V36" s="11"/>
      <c r="W36" s="11"/>
    </row>
    <row r="37" spans="1:23" x14ac:dyDescent="0.15">
      <c r="A37" s="6" t="s">
        <v>6</v>
      </c>
      <c r="C37" s="6" t="s">
        <v>5</v>
      </c>
      <c r="E37" s="6" t="s">
        <v>7</v>
      </c>
      <c r="G37" s="6" t="s">
        <v>8</v>
      </c>
      <c r="I37" s="6" t="s">
        <v>9</v>
      </c>
      <c r="K37" s="6" t="s">
        <v>6</v>
      </c>
      <c r="M37" s="6" t="s">
        <v>6</v>
      </c>
      <c r="O37" s="6" t="s">
        <v>6</v>
      </c>
      <c r="Q37" s="6" t="s">
        <v>6</v>
      </c>
      <c r="S37" s="8" t="s">
        <v>6</v>
      </c>
      <c r="U37" s="11"/>
      <c r="V37" s="11"/>
      <c r="W37" s="11"/>
    </row>
    <row r="38" spans="1:23" x14ac:dyDescent="0.15">
      <c r="A38" s="6" t="s">
        <v>6</v>
      </c>
      <c r="C38" s="6" t="s">
        <v>5</v>
      </c>
      <c r="E38" s="6" t="s">
        <v>7</v>
      </c>
      <c r="G38" s="6" t="s">
        <v>8</v>
      </c>
      <c r="I38" s="6" t="s">
        <v>9</v>
      </c>
      <c r="K38" s="6" t="s">
        <v>6</v>
      </c>
      <c r="M38" s="6" t="s">
        <v>6</v>
      </c>
      <c r="O38" s="6" t="s">
        <v>6</v>
      </c>
      <c r="Q38" s="6" t="s">
        <v>6</v>
      </c>
      <c r="S38" s="8" t="s">
        <v>6</v>
      </c>
      <c r="U38" s="11"/>
      <c r="V38" s="11"/>
      <c r="W38" s="11"/>
    </row>
    <row r="39" spans="1:23" x14ac:dyDescent="0.15">
      <c r="A39" s="6" t="s">
        <v>6</v>
      </c>
      <c r="C39" s="6" t="s">
        <v>5</v>
      </c>
      <c r="E39" s="6" t="s">
        <v>7</v>
      </c>
      <c r="G39" s="6" t="s">
        <v>8</v>
      </c>
      <c r="I39" s="6" t="s">
        <v>9</v>
      </c>
      <c r="K39" s="6" t="s">
        <v>6</v>
      </c>
      <c r="M39" s="6" t="s">
        <v>6</v>
      </c>
      <c r="O39" s="6" t="s">
        <v>6</v>
      </c>
      <c r="Q39" s="6" t="s">
        <v>6</v>
      </c>
      <c r="S39" s="8" t="s">
        <v>6</v>
      </c>
      <c r="U39" s="11"/>
      <c r="V39" s="11"/>
      <c r="W39" s="11"/>
    </row>
    <row r="40" spans="1:23" x14ac:dyDescent="0.15">
      <c r="A40" s="6" t="s">
        <v>6</v>
      </c>
      <c r="C40" s="6" t="s">
        <v>5</v>
      </c>
      <c r="E40" s="6" t="s">
        <v>7</v>
      </c>
      <c r="G40" s="6" t="s">
        <v>8</v>
      </c>
      <c r="I40" s="6" t="s">
        <v>9</v>
      </c>
      <c r="K40" s="6" t="s">
        <v>6</v>
      </c>
      <c r="M40" s="6" t="s">
        <v>6</v>
      </c>
      <c r="O40" s="6" t="s">
        <v>6</v>
      </c>
      <c r="Q40" s="6" t="s">
        <v>6</v>
      </c>
      <c r="S40" s="8" t="s">
        <v>6</v>
      </c>
      <c r="U40" s="11"/>
      <c r="V40" s="11"/>
      <c r="W40" s="11"/>
    </row>
    <row r="41" spans="1:23" x14ac:dyDescent="0.15">
      <c r="A41" s="6" t="s">
        <v>6</v>
      </c>
      <c r="C41" s="6" t="s">
        <v>5</v>
      </c>
      <c r="E41" s="6" t="s">
        <v>7</v>
      </c>
      <c r="G41" s="6" t="s">
        <v>8</v>
      </c>
      <c r="I41" s="6" t="s">
        <v>9</v>
      </c>
      <c r="K41" s="6" t="s">
        <v>6</v>
      </c>
      <c r="M41" s="6" t="s">
        <v>6</v>
      </c>
      <c r="O41" s="6" t="s">
        <v>6</v>
      </c>
      <c r="Q41" s="6" t="s">
        <v>6</v>
      </c>
      <c r="S41" s="8" t="s">
        <v>6</v>
      </c>
      <c r="U41" s="11"/>
      <c r="V41" s="11"/>
      <c r="W41" s="11"/>
    </row>
    <row r="42" spans="1:23" x14ac:dyDescent="0.15">
      <c r="A42" s="6" t="s">
        <v>6</v>
      </c>
      <c r="C42" s="6" t="s">
        <v>5</v>
      </c>
      <c r="E42" s="6" t="s">
        <v>7</v>
      </c>
      <c r="G42" s="6" t="s">
        <v>8</v>
      </c>
      <c r="I42" s="6" t="s">
        <v>9</v>
      </c>
      <c r="K42" s="6" t="s">
        <v>6</v>
      </c>
      <c r="M42" s="6" t="s">
        <v>6</v>
      </c>
      <c r="O42" s="6" t="s">
        <v>6</v>
      </c>
      <c r="Q42" s="6" t="s">
        <v>6</v>
      </c>
      <c r="S42" s="8" t="s">
        <v>6</v>
      </c>
      <c r="U42" s="11"/>
      <c r="V42" s="11"/>
      <c r="W42" s="11"/>
    </row>
    <row r="43" spans="1:23" x14ac:dyDescent="0.15">
      <c r="A43" s="6" t="s">
        <v>6</v>
      </c>
      <c r="C43" s="6" t="s">
        <v>5</v>
      </c>
      <c r="E43" s="6" t="s">
        <v>7</v>
      </c>
      <c r="G43" s="6" t="s">
        <v>8</v>
      </c>
      <c r="I43" s="6" t="s">
        <v>9</v>
      </c>
      <c r="K43" s="6" t="s">
        <v>6</v>
      </c>
      <c r="M43" s="6" t="s">
        <v>6</v>
      </c>
      <c r="O43" s="6" t="s">
        <v>6</v>
      </c>
      <c r="Q43" s="6" t="s">
        <v>6</v>
      </c>
      <c r="S43" s="8" t="s">
        <v>6</v>
      </c>
      <c r="U43" s="11"/>
      <c r="V43" s="11"/>
      <c r="W43" s="11"/>
    </row>
    <row r="44" spans="1:23" x14ac:dyDescent="0.15">
      <c r="A44" s="6" t="s">
        <v>6</v>
      </c>
      <c r="C44" s="6" t="s">
        <v>5</v>
      </c>
      <c r="E44" s="6" t="s">
        <v>7</v>
      </c>
      <c r="G44" s="6" t="s">
        <v>8</v>
      </c>
      <c r="I44" s="6" t="s">
        <v>9</v>
      </c>
      <c r="K44" s="6" t="s">
        <v>6</v>
      </c>
      <c r="M44" s="6" t="s">
        <v>6</v>
      </c>
      <c r="O44" s="6" t="s">
        <v>6</v>
      </c>
      <c r="Q44" s="6" t="s">
        <v>6</v>
      </c>
      <c r="S44" s="8" t="s">
        <v>6</v>
      </c>
      <c r="U44" s="11"/>
      <c r="V44" s="11"/>
      <c r="W44" s="11"/>
    </row>
    <row r="45" spans="1:23" x14ac:dyDescent="0.15">
      <c r="A45" s="6" t="s">
        <v>6</v>
      </c>
      <c r="C45" s="6" t="s">
        <v>5</v>
      </c>
      <c r="E45" s="6" t="s">
        <v>7</v>
      </c>
      <c r="G45" s="6" t="s">
        <v>8</v>
      </c>
      <c r="I45" s="6" t="s">
        <v>9</v>
      </c>
      <c r="K45" s="6" t="s">
        <v>6</v>
      </c>
      <c r="M45" s="6" t="s">
        <v>6</v>
      </c>
      <c r="O45" s="6" t="s">
        <v>6</v>
      </c>
      <c r="Q45" s="6" t="s">
        <v>6</v>
      </c>
      <c r="S45" s="8" t="s">
        <v>6</v>
      </c>
      <c r="U45" s="11"/>
      <c r="V45" s="11"/>
      <c r="W45" s="11"/>
    </row>
    <row r="46" spans="1:23" x14ac:dyDescent="0.15">
      <c r="A46" s="6" t="s">
        <v>6</v>
      </c>
      <c r="C46" s="6" t="s">
        <v>5</v>
      </c>
      <c r="E46" s="6" t="s">
        <v>7</v>
      </c>
      <c r="G46" s="6" t="s">
        <v>8</v>
      </c>
      <c r="I46" s="6" t="s">
        <v>9</v>
      </c>
      <c r="K46" s="6" t="s">
        <v>6</v>
      </c>
      <c r="M46" s="6" t="s">
        <v>6</v>
      </c>
      <c r="O46" s="6" t="s">
        <v>6</v>
      </c>
      <c r="Q46" s="6" t="s">
        <v>6</v>
      </c>
      <c r="S46" s="8" t="s">
        <v>6</v>
      </c>
      <c r="U46" s="11"/>
      <c r="V46" s="11"/>
      <c r="W46" s="11"/>
    </row>
    <row r="47" spans="1:23" x14ac:dyDescent="0.15">
      <c r="A47" s="6" t="s">
        <v>6</v>
      </c>
      <c r="C47" s="6" t="s">
        <v>5</v>
      </c>
      <c r="E47" s="6" t="s">
        <v>7</v>
      </c>
      <c r="G47" s="6" t="s">
        <v>8</v>
      </c>
      <c r="I47" s="6" t="s">
        <v>9</v>
      </c>
      <c r="K47" s="6" t="s">
        <v>6</v>
      </c>
      <c r="M47" s="6" t="s">
        <v>6</v>
      </c>
      <c r="O47" s="6" t="s">
        <v>6</v>
      </c>
      <c r="Q47" s="6" t="s">
        <v>6</v>
      </c>
      <c r="S47" s="8" t="s">
        <v>6</v>
      </c>
      <c r="U47" s="11"/>
      <c r="V47" s="11"/>
      <c r="W47" s="11"/>
    </row>
    <row r="48" spans="1:23" x14ac:dyDescent="0.15">
      <c r="A48" s="6" t="s">
        <v>6</v>
      </c>
      <c r="C48" s="6" t="s">
        <v>5</v>
      </c>
      <c r="E48" s="6" t="s">
        <v>7</v>
      </c>
      <c r="G48" s="6" t="s">
        <v>8</v>
      </c>
      <c r="I48" s="6" t="s">
        <v>9</v>
      </c>
      <c r="K48" s="6" t="s">
        <v>6</v>
      </c>
      <c r="M48" s="6" t="s">
        <v>6</v>
      </c>
      <c r="O48" s="6" t="s">
        <v>6</v>
      </c>
      <c r="Q48" s="6" t="s">
        <v>6</v>
      </c>
      <c r="S48" s="8" t="s">
        <v>6</v>
      </c>
      <c r="U48" s="11"/>
      <c r="V48" s="11"/>
      <c r="W48" s="11"/>
    </row>
    <row r="49" spans="1:23" x14ac:dyDescent="0.15">
      <c r="A49" s="6" t="s">
        <v>6</v>
      </c>
      <c r="C49" s="6" t="s">
        <v>5</v>
      </c>
      <c r="E49" s="6" t="s">
        <v>7</v>
      </c>
      <c r="G49" s="6" t="s">
        <v>8</v>
      </c>
      <c r="I49" s="6" t="s">
        <v>9</v>
      </c>
      <c r="K49" s="6" t="s">
        <v>6</v>
      </c>
      <c r="M49" s="6" t="s">
        <v>6</v>
      </c>
      <c r="O49" s="6" t="s">
        <v>6</v>
      </c>
      <c r="Q49" s="6" t="s">
        <v>6</v>
      </c>
      <c r="S49" s="8" t="s">
        <v>6</v>
      </c>
      <c r="U49" s="11"/>
      <c r="V49" s="11"/>
      <c r="W49" s="11"/>
    </row>
    <row r="50" spans="1:23" x14ac:dyDescent="0.15">
      <c r="A50" s="6" t="s">
        <v>6</v>
      </c>
      <c r="C50" s="6" t="s">
        <v>5</v>
      </c>
      <c r="E50" s="6" t="s">
        <v>7</v>
      </c>
      <c r="G50" s="6" t="s">
        <v>8</v>
      </c>
      <c r="I50" s="6" t="s">
        <v>9</v>
      </c>
      <c r="K50" s="6" t="s">
        <v>6</v>
      </c>
      <c r="M50" s="6" t="s">
        <v>6</v>
      </c>
      <c r="O50" s="6" t="s">
        <v>6</v>
      </c>
      <c r="Q50" s="6" t="s">
        <v>6</v>
      </c>
      <c r="S50" s="8" t="s">
        <v>6</v>
      </c>
      <c r="U50" s="11"/>
      <c r="V50" s="11"/>
      <c r="W50" s="11"/>
    </row>
    <row r="51" spans="1:23" x14ac:dyDescent="0.15">
      <c r="A51" s="6" t="s">
        <v>6</v>
      </c>
      <c r="C51" s="6" t="s">
        <v>5</v>
      </c>
      <c r="E51" s="6" t="s">
        <v>7</v>
      </c>
      <c r="G51" s="6" t="s">
        <v>8</v>
      </c>
      <c r="I51" s="6" t="s">
        <v>9</v>
      </c>
      <c r="K51" s="6" t="s">
        <v>6</v>
      </c>
      <c r="M51" s="6" t="s">
        <v>6</v>
      </c>
      <c r="O51" s="6" t="s">
        <v>6</v>
      </c>
      <c r="Q51" s="6" t="s">
        <v>6</v>
      </c>
      <c r="S51" s="8" t="s">
        <v>6</v>
      </c>
      <c r="U51" s="11"/>
      <c r="V51" s="11"/>
      <c r="W51" s="11"/>
    </row>
    <row r="52" spans="1:23" x14ac:dyDescent="0.15">
      <c r="A52" s="6" t="s">
        <v>6</v>
      </c>
      <c r="C52" s="6" t="s">
        <v>5</v>
      </c>
      <c r="E52" s="6" t="s">
        <v>7</v>
      </c>
      <c r="G52" s="6" t="s">
        <v>8</v>
      </c>
      <c r="I52" s="6" t="s">
        <v>9</v>
      </c>
      <c r="K52" s="6" t="s">
        <v>6</v>
      </c>
      <c r="M52" s="6" t="s">
        <v>6</v>
      </c>
      <c r="O52" s="6" t="s">
        <v>6</v>
      </c>
      <c r="Q52" s="6" t="s">
        <v>6</v>
      </c>
      <c r="S52" s="8" t="s">
        <v>6</v>
      </c>
      <c r="U52" s="11"/>
      <c r="V52" s="11"/>
      <c r="W52" s="11"/>
    </row>
    <row r="53" spans="1:23" x14ac:dyDescent="0.15">
      <c r="A53" s="6" t="s">
        <v>6</v>
      </c>
      <c r="C53" s="6" t="s">
        <v>5</v>
      </c>
      <c r="E53" s="6" t="s">
        <v>7</v>
      </c>
      <c r="G53" s="6" t="s">
        <v>8</v>
      </c>
      <c r="I53" s="6" t="s">
        <v>9</v>
      </c>
      <c r="K53" s="6" t="s">
        <v>6</v>
      </c>
      <c r="M53" s="6" t="s">
        <v>6</v>
      </c>
      <c r="O53" s="6" t="s">
        <v>6</v>
      </c>
      <c r="Q53" s="6" t="s">
        <v>6</v>
      </c>
      <c r="S53" s="8" t="s">
        <v>6</v>
      </c>
      <c r="U53" s="11"/>
      <c r="V53" s="11"/>
      <c r="W53" s="11"/>
    </row>
    <row r="54" spans="1:23" x14ac:dyDescent="0.15">
      <c r="A54" s="6" t="s">
        <v>6</v>
      </c>
      <c r="C54" s="6" t="s">
        <v>5</v>
      </c>
      <c r="E54" s="6" t="s">
        <v>7</v>
      </c>
      <c r="G54" s="6" t="s">
        <v>8</v>
      </c>
      <c r="I54" s="6" t="s">
        <v>9</v>
      </c>
      <c r="K54" s="6" t="s">
        <v>6</v>
      </c>
      <c r="M54" s="6" t="s">
        <v>6</v>
      </c>
      <c r="O54" s="6" t="s">
        <v>6</v>
      </c>
      <c r="Q54" s="6" t="s">
        <v>6</v>
      </c>
      <c r="S54" s="8" t="s">
        <v>6</v>
      </c>
      <c r="U54" s="11"/>
      <c r="V54" s="11"/>
      <c r="W54" s="11"/>
    </row>
    <row r="55" spans="1:23" x14ac:dyDescent="0.15">
      <c r="A55" s="6" t="s">
        <v>6</v>
      </c>
      <c r="C55" s="6" t="s">
        <v>5</v>
      </c>
      <c r="E55" s="6" t="s">
        <v>7</v>
      </c>
      <c r="G55" s="6" t="s">
        <v>8</v>
      </c>
      <c r="I55" s="6" t="s">
        <v>9</v>
      </c>
      <c r="K55" s="6" t="s">
        <v>6</v>
      </c>
      <c r="M55" s="6" t="s">
        <v>6</v>
      </c>
      <c r="O55" s="6" t="s">
        <v>6</v>
      </c>
      <c r="Q55" s="6" t="s">
        <v>6</v>
      </c>
      <c r="S55" s="8" t="s">
        <v>6</v>
      </c>
      <c r="U55" s="11"/>
      <c r="V55" s="11"/>
      <c r="W55" s="11"/>
    </row>
    <row r="56" spans="1:23" x14ac:dyDescent="0.15">
      <c r="A56" s="6" t="s">
        <v>6</v>
      </c>
      <c r="C56" s="6" t="s">
        <v>5</v>
      </c>
      <c r="E56" s="6" t="s">
        <v>7</v>
      </c>
      <c r="G56" s="6" t="s">
        <v>8</v>
      </c>
      <c r="I56" s="6" t="s">
        <v>9</v>
      </c>
      <c r="K56" s="6" t="s">
        <v>6</v>
      </c>
      <c r="M56" s="6" t="s">
        <v>6</v>
      </c>
      <c r="O56" s="6" t="s">
        <v>6</v>
      </c>
      <c r="Q56" s="6" t="s">
        <v>6</v>
      </c>
      <c r="S56" s="8" t="s">
        <v>6</v>
      </c>
      <c r="U56" s="11"/>
      <c r="V56" s="11"/>
      <c r="W56" s="11"/>
    </row>
    <row r="57" spans="1:23" x14ac:dyDescent="0.15">
      <c r="A57" s="6" t="s">
        <v>6</v>
      </c>
      <c r="C57" s="6" t="s">
        <v>5</v>
      </c>
      <c r="E57" s="6" t="s">
        <v>7</v>
      </c>
      <c r="G57" s="6" t="s">
        <v>8</v>
      </c>
      <c r="I57" s="6" t="s">
        <v>9</v>
      </c>
      <c r="K57" s="6" t="s">
        <v>6</v>
      </c>
      <c r="M57" s="6" t="s">
        <v>6</v>
      </c>
      <c r="O57" s="6" t="s">
        <v>6</v>
      </c>
      <c r="Q57" s="6" t="s">
        <v>6</v>
      </c>
      <c r="S57" s="8" t="s">
        <v>6</v>
      </c>
      <c r="U57" s="11"/>
      <c r="V57" s="11"/>
      <c r="W57" s="11"/>
    </row>
    <row r="58" spans="1:23" x14ac:dyDescent="0.15">
      <c r="A58" s="6" t="s">
        <v>6</v>
      </c>
      <c r="C58" s="6" t="s">
        <v>5</v>
      </c>
      <c r="E58" s="6" t="s">
        <v>7</v>
      </c>
      <c r="G58" s="6" t="s">
        <v>8</v>
      </c>
      <c r="I58" s="6" t="s">
        <v>9</v>
      </c>
      <c r="K58" s="6" t="s">
        <v>6</v>
      </c>
      <c r="M58" s="6" t="s">
        <v>6</v>
      </c>
      <c r="O58" s="6" t="s">
        <v>6</v>
      </c>
      <c r="Q58" s="6" t="s">
        <v>6</v>
      </c>
      <c r="S58" s="8" t="s">
        <v>6</v>
      </c>
      <c r="U58" s="11"/>
      <c r="V58" s="11"/>
      <c r="W58" s="11"/>
    </row>
    <row r="59" spans="1:23" x14ac:dyDescent="0.15">
      <c r="A59" s="6" t="s">
        <v>6</v>
      </c>
      <c r="C59" s="6" t="s">
        <v>5</v>
      </c>
      <c r="E59" s="6" t="s">
        <v>7</v>
      </c>
      <c r="G59" s="6" t="s">
        <v>8</v>
      </c>
      <c r="I59" s="6" t="s">
        <v>9</v>
      </c>
      <c r="K59" s="6" t="s">
        <v>6</v>
      </c>
      <c r="M59" s="6" t="s">
        <v>6</v>
      </c>
      <c r="O59" s="6" t="s">
        <v>6</v>
      </c>
      <c r="Q59" s="6" t="s">
        <v>6</v>
      </c>
      <c r="S59" s="8" t="s">
        <v>6</v>
      </c>
      <c r="U59" s="11"/>
      <c r="V59" s="11"/>
      <c r="W59" s="11"/>
    </row>
    <row r="60" spans="1:23" x14ac:dyDescent="0.15">
      <c r="A60" s="6" t="s">
        <v>6</v>
      </c>
      <c r="C60" s="6" t="s">
        <v>5</v>
      </c>
      <c r="E60" s="6" t="s">
        <v>7</v>
      </c>
      <c r="G60" s="6" t="s">
        <v>8</v>
      </c>
      <c r="I60" s="6" t="s">
        <v>9</v>
      </c>
      <c r="K60" s="6" t="s">
        <v>6</v>
      </c>
      <c r="M60" s="6" t="s">
        <v>6</v>
      </c>
      <c r="O60" s="6" t="s">
        <v>6</v>
      </c>
      <c r="Q60" s="6" t="s">
        <v>6</v>
      </c>
      <c r="S60" s="8" t="s">
        <v>6</v>
      </c>
      <c r="U60" s="11"/>
      <c r="V60" s="11"/>
      <c r="W60" s="11"/>
    </row>
    <row r="61" spans="1:23" x14ac:dyDescent="0.15">
      <c r="A61" s="6" t="s">
        <v>6</v>
      </c>
      <c r="C61" s="6" t="s">
        <v>5</v>
      </c>
      <c r="E61" s="6" t="s">
        <v>7</v>
      </c>
      <c r="G61" s="6" t="s">
        <v>8</v>
      </c>
      <c r="I61" s="6" t="s">
        <v>9</v>
      </c>
      <c r="K61" s="6" t="s">
        <v>6</v>
      </c>
      <c r="M61" s="6" t="s">
        <v>6</v>
      </c>
      <c r="O61" s="6" t="s">
        <v>6</v>
      </c>
      <c r="Q61" s="6" t="s">
        <v>6</v>
      </c>
      <c r="S61" s="8" t="s">
        <v>6</v>
      </c>
      <c r="U61" s="11"/>
      <c r="V61" s="11"/>
      <c r="W61" s="11"/>
    </row>
    <row r="62" spans="1:23" x14ac:dyDescent="0.15">
      <c r="A62" s="6" t="s">
        <v>6</v>
      </c>
      <c r="C62" s="6" t="s">
        <v>5</v>
      </c>
      <c r="E62" s="6" t="s">
        <v>7</v>
      </c>
      <c r="G62" s="6" t="s">
        <v>8</v>
      </c>
      <c r="I62" s="6" t="s">
        <v>9</v>
      </c>
      <c r="K62" s="6" t="s">
        <v>6</v>
      </c>
      <c r="M62" s="6" t="s">
        <v>6</v>
      </c>
      <c r="O62" s="6" t="s">
        <v>6</v>
      </c>
      <c r="Q62" s="6" t="s">
        <v>6</v>
      </c>
      <c r="S62" s="8" t="s">
        <v>6</v>
      </c>
      <c r="U62" s="11"/>
      <c r="V62" s="11"/>
      <c r="W62" s="11"/>
    </row>
    <row r="63" spans="1:23" x14ac:dyDescent="0.15">
      <c r="A63" s="6" t="s">
        <v>6</v>
      </c>
      <c r="C63" s="6" t="s">
        <v>5</v>
      </c>
      <c r="E63" s="6" t="s">
        <v>7</v>
      </c>
      <c r="G63" s="6" t="s">
        <v>8</v>
      </c>
      <c r="I63" s="6" t="s">
        <v>9</v>
      </c>
      <c r="K63" s="6" t="s">
        <v>6</v>
      </c>
      <c r="M63" s="6" t="s">
        <v>6</v>
      </c>
      <c r="O63" s="6" t="s">
        <v>6</v>
      </c>
      <c r="Q63" s="6" t="s">
        <v>6</v>
      </c>
      <c r="S63" s="8" t="s">
        <v>6</v>
      </c>
      <c r="U63" s="11"/>
      <c r="V63" s="11"/>
      <c r="W63" s="11"/>
    </row>
    <row r="64" spans="1:23" x14ac:dyDescent="0.15">
      <c r="A64" s="6" t="s">
        <v>6</v>
      </c>
      <c r="C64" s="6" t="s">
        <v>5</v>
      </c>
      <c r="E64" s="6" t="s">
        <v>7</v>
      </c>
      <c r="G64" s="6" t="s">
        <v>8</v>
      </c>
      <c r="I64" s="6" t="s">
        <v>9</v>
      </c>
      <c r="K64" s="6" t="s">
        <v>6</v>
      </c>
      <c r="M64" s="6" t="s">
        <v>6</v>
      </c>
      <c r="O64" s="6" t="s">
        <v>6</v>
      </c>
      <c r="Q64" s="6" t="s">
        <v>6</v>
      </c>
      <c r="S64" s="8" t="s">
        <v>6</v>
      </c>
      <c r="U64" s="11"/>
      <c r="V64" s="11"/>
      <c r="W64" s="11"/>
    </row>
    <row r="65" spans="1:23" x14ac:dyDescent="0.15">
      <c r="A65" s="6" t="s">
        <v>6</v>
      </c>
      <c r="C65" s="6" t="s">
        <v>5</v>
      </c>
      <c r="E65" s="6" t="s">
        <v>7</v>
      </c>
      <c r="G65" s="6" t="s">
        <v>8</v>
      </c>
      <c r="I65" s="6" t="s">
        <v>9</v>
      </c>
      <c r="K65" s="6" t="s">
        <v>6</v>
      </c>
      <c r="M65" s="6" t="s">
        <v>6</v>
      </c>
      <c r="O65" s="6" t="s">
        <v>6</v>
      </c>
      <c r="Q65" s="6" t="s">
        <v>6</v>
      </c>
      <c r="S65" s="8" t="s">
        <v>6</v>
      </c>
      <c r="U65" s="11"/>
      <c r="V65" s="11"/>
      <c r="W65" s="11"/>
    </row>
    <row r="66" spans="1:23" x14ac:dyDescent="0.15">
      <c r="A66" s="6" t="s">
        <v>6</v>
      </c>
      <c r="C66" s="6" t="s">
        <v>5</v>
      </c>
      <c r="E66" s="6" t="s">
        <v>7</v>
      </c>
      <c r="G66" s="6" t="s">
        <v>8</v>
      </c>
      <c r="I66" s="6" t="s">
        <v>9</v>
      </c>
      <c r="K66" s="6" t="s">
        <v>6</v>
      </c>
      <c r="M66" s="6" t="s">
        <v>6</v>
      </c>
      <c r="O66" s="6" t="s">
        <v>6</v>
      </c>
      <c r="Q66" s="6" t="s">
        <v>6</v>
      </c>
      <c r="S66" s="8" t="s">
        <v>6</v>
      </c>
      <c r="U66" s="11"/>
      <c r="V66" s="11"/>
      <c r="W66" s="11"/>
    </row>
    <row r="67" spans="1:23" x14ac:dyDescent="0.15">
      <c r="A67" s="6" t="s">
        <v>6</v>
      </c>
      <c r="C67" s="6" t="s">
        <v>5</v>
      </c>
      <c r="E67" s="6" t="s">
        <v>7</v>
      </c>
      <c r="G67" s="6" t="s">
        <v>8</v>
      </c>
      <c r="I67" s="6" t="s">
        <v>9</v>
      </c>
      <c r="K67" s="6" t="s">
        <v>6</v>
      </c>
      <c r="M67" s="6" t="s">
        <v>6</v>
      </c>
      <c r="O67" s="6" t="s">
        <v>6</v>
      </c>
      <c r="Q67" s="6" t="s">
        <v>6</v>
      </c>
      <c r="S67" s="8" t="s">
        <v>6</v>
      </c>
      <c r="U67" s="11"/>
      <c r="V67" s="11"/>
      <c r="W67" s="11"/>
    </row>
    <row r="68" spans="1:23" x14ac:dyDescent="0.15">
      <c r="A68" s="6" t="s">
        <v>6</v>
      </c>
      <c r="C68" s="6" t="s">
        <v>5</v>
      </c>
      <c r="E68" s="6" t="s">
        <v>7</v>
      </c>
      <c r="G68" s="6" t="s">
        <v>8</v>
      </c>
      <c r="I68" s="6" t="s">
        <v>9</v>
      </c>
      <c r="K68" s="6" t="s">
        <v>6</v>
      </c>
      <c r="M68" s="6" t="s">
        <v>6</v>
      </c>
      <c r="O68" s="6" t="s">
        <v>6</v>
      </c>
      <c r="Q68" s="6" t="s">
        <v>6</v>
      </c>
      <c r="S68" s="8" t="s">
        <v>6</v>
      </c>
      <c r="U68" s="11"/>
      <c r="V68" s="11"/>
      <c r="W68" s="11"/>
    </row>
    <row r="69" spans="1:23" x14ac:dyDescent="0.15">
      <c r="A69" s="6" t="s">
        <v>6</v>
      </c>
      <c r="C69" s="6" t="s">
        <v>5</v>
      </c>
      <c r="E69" s="6" t="s">
        <v>7</v>
      </c>
      <c r="G69" s="6" t="s">
        <v>8</v>
      </c>
      <c r="I69" s="6" t="s">
        <v>9</v>
      </c>
      <c r="K69" s="6" t="s">
        <v>6</v>
      </c>
      <c r="M69" s="6" t="s">
        <v>6</v>
      </c>
      <c r="O69" s="6" t="s">
        <v>6</v>
      </c>
      <c r="Q69" s="6" t="s">
        <v>6</v>
      </c>
      <c r="S69" s="8" t="s">
        <v>6</v>
      </c>
      <c r="U69" s="11"/>
      <c r="V69" s="11"/>
      <c r="W69" s="11"/>
    </row>
    <row r="70" spans="1:23" x14ac:dyDescent="0.15">
      <c r="A70" s="6" t="s">
        <v>6</v>
      </c>
      <c r="C70" s="6" t="s">
        <v>5</v>
      </c>
      <c r="E70" s="6" t="s">
        <v>7</v>
      </c>
      <c r="G70" s="6" t="s">
        <v>8</v>
      </c>
      <c r="I70" s="6" t="s">
        <v>9</v>
      </c>
      <c r="K70" s="6" t="s">
        <v>6</v>
      </c>
      <c r="M70" s="6" t="s">
        <v>6</v>
      </c>
      <c r="O70" s="6" t="s">
        <v>6</v>
      </c>
      <c r="Q70" s="6" t="s">
        <v>6</v>
      </c>
      <c r="S70" s="8" t="s">
        <v>6</v>
      </c>
      <c r="U70" s="11"/>
      <c r="V70" s="11"/>
      <c r="W70" s="11"/>
    </row>
    <row r="71" spans="1:23" x14ac:dyDescent="0.15">
      <c r="A71" s="6" t="s">
        <v>6</v>
      </c>
      <c r="C71" s="6" t="s">
        <v>5</v>
      </c>
      <c r="E71" s="6" t="s">
        <v>7</v>
      </c>
      <c r="G71" s="6" t="s">
        <v>8</v>
      </c>
      <c r="I71" s="6" t="s">
        <v>9</v>
      </c>
      <c r="K71" s="6" t="s">
        <v>6</v>
      </c>
      <c r="M71" s="6" t="s">
        <v>6</v>
      </c>
      <c r="O71" s="6" t="s">
        <v>6</v>
      </c>
      <c r="Q71" s="6" t="s">
        <v>6</v>
      </c>
      <c r="S71" s="8" t="s">
        <v>6</v>
      </c>
      <c r="U71" s="11"/>
      <c r="V71" s="11"/>
      <c r="W71" s="11"/>
    </row>
    <row r="72" spans="1:23" x14ac:dyDescent="0.15">
      <c r="A72" s="6" t="s">
        <v>6</v>
      </c>
      <c r="C72" s="6" t="s">
        <v>5</v>
      </c>
      <c r="E72" s="6" t="s">
        <v>7</v>
      </c>
      <c r="G72" s="6" t="s">
        <v>8</v>
      </c>
      <c r="I72" s="6" t="s">
        <v>9</v>
      </c>
      <c r="K72" s="6" t="s">
        <v>6</v>
      </c>
      <c r="M72" s="6" t="s">
        <v>6</v>
      </c>
      <c r="O72" s="6" t="s">
        <v>6</v>
      </c>
      <c r="Q72" s="6" t="s">
        <v>6</v>
      </c>
      <c r="S72" s="8" t="s">
        <v>6</v>
      </c>
      <c r="U72" s="11"/>
      <c r="V72" s="11"/>
      <c r="W72" s="11"/>
    </row>
    <row r="73" spans="1:23" x14ac:dyDescent="0.15">
      <c r="A73" s="6" t="s">
        <v>6</v>
      </c>
      <c r="C73" s="6" t="s">
        <v>5</v>
      </c>
      <c r="E73" s="6" t="s">
        <v>7</v>
      </c>
      <c r="G73" s="6" t="s">
        <v>8</v>
      </c>
      <c r="I73" s="6" t="s">
        <v>9</v>
      </c>
      <c r="K73" s="6" t="s">
        <v>6</v>
      </c>
      <c r="M73" s="6" t="s">
        <v>6</v>
      </c>
      <c r="O73" s="6" t="s">
        <v>6</v>
      </c>
      <c r="Q73" s="6" t="s">
        <v>6</v>
      </c>
      <c r="S73" s="8" t="s">
        <v>6</v>
      </c>
      <c r="U73" s="11"/>
      <c r="V73" s="11"/>
      <c r="W73" s="11"/>
    </row>
    <row r="74" spans="1:23" x14ac:dyDescent="0.15">
      <c r="A74" s="6" t="s">
        <v>6</v>
      </c>
      <c r="C74" s="6" t="s">
        <v>5</v>
      </c>
      <c r="E74" s="6" t="s">
        <v>7</v>
      </c>
      <c r="G74" s="6" t="s">
        <v>8</v>
      </c>
      <c r="I74" s="6" t="s">
        <v>9</v>
      </c>
      <c r="K74" s="6" t="s">
        <v>6</v>
      </c>
      <c r="M74" s="6" t="s">
        <v>6</v>
      </c>
      <c r="O74" s="6" t="s">
        <v>6</v>
      </c>
      <c r="Q74" s="6" t="s">
        <v>6</v>
      </c>
      <c r="S74" s="8" t="s">
        <v>6</v>
      </c>
      <c r="U74" s="11"/>
      <c r="V74" s="11"/>
      <c r="W74" s="11"/>
    </row>
    <row r="75" spans="1:23" x14ac:dyDescent="0.15">
      <c r="A75" s="6" t="s">
        <v>6</v>
      </c>
      <c r="C75" s="6" t="s">
        <v>5</v>
      </c>
      <c r="E75" s="6" t="s">
        <v>7</v>
      </c>
      <c r="G75" s="6" t="s">
        <v>8</v>
      </c>
      <c r="I75" s="6" t="s">
        <v>9</v>
      </c>
      <c r="K75" s="6" t="s">
        <v>6</v>
      </c>
      <c r="M75" s="6" t="s">
        <v>6</v>
      </c>
      <c r="O75" s="6" t="s">
        <v>6</v>
      </c>
      <c r="Q75" s="6" t="s">
        <v>6</v>
      </c>
      <c r="S75" s="8" t="s">
        <v>6</v>
      </c>
      <c r="U75" s="11"/>
      <c r="V75" s="11"/>
      <c r="W75" s="11"/>
    </row>
    <row r="76" spans="1:23" x14ac:dyDescent="0.15">
      <c r="A76" s="6" t="s">
        <v>6</v>
      </c>
      <c r="C76" s="6" t="s">
        <v>5</v>
      </c>
      <c r="E76" s="6" t="s">
        <v>7</v>
      </c>
      <c r="G76" s="6" t="s">
        <v>8</v>
      </c>
      <c r="I76" s="6" t="s">
        <v>9</v>
      </c>
      <c r="K76" s="6" t="s">
        <v>6</v>
      </c>
      <c r="M76" s="6" t="s">
        <v>6</v>
      </c>
      <c r="O76" s="6" t="s">
        <v>6</v>
      </c>
      <c r="Q76" s="6" t="s">
        <v>6</v>
      </c>
      <c r="S76" s="8" t="s">
        <v>6</v>
      </c>
      <c r="U76" s="11"/>
      <c r="V76" s="11"/>
      <c r="W76" s="11"/>
    </row>
    <row r="77" spans="1:23" x14ac:dyDescent="0.15">
      <c r="A77" s="6" t="s">
        <v>6</v>
      </c>
      <c r="C77" s="6" t="s">
        <v>5</v>
      </c>
      <c r="E77" s="6" t="s">
        <v>7</v>
      </c>
      <c r="G77" s="6" t="s">
        <v>8</v>
      </c>
      <c r="I77" s="6" t="s">
        <v>9</v>
      </c>
      <c r="K77" s="6" t="s">
        <v>6</v>
      </c>
      <c r="M77" s="6" t="s">
        <v>6</v>
      </c>
      <c r="O77" s="6" t="s">
        <v>6</v>
      </c>
      <c r="Q77" s="6" t="s">
        <v>6</v>
      </c>
      <c r="S77" s="8" t="s">
        <v>6</v>
      </c>
      <c r="U77" s="11"/>
      <c r="V77" s="11"/>
      <c r="W77" s="11"/>
    </row>
    <row r="78" spans="1:23" x14ac:dyDescent="0.15">
      <c r="A78" s="6" t="s">
        <v>6</v>
      </c>
      <c r="C78" s="6" t="s">
        <v>5</v>
      </c>
      <c r="E78" s="6" t="s">
        <v>7</v>
      </c>
      <c r="G78" s="6" t="s">
        <v>8</v>
      </c>
      <c r="I78" s="6" t="s">
        <v>9</v>
      </c>
      <c r="K78" s="6" t="s">
        <v>6</v>
      </c>
      <c r="M78" s="6" t="s">
        <v>6</v>
      </c>
      <c r="O78" s="6" t="s">
        <v>6</v>
      </c>
      <c r="Q78" s="6" t="s">
        <v>6</v>
      </c>
      <c r="S78" s="8" t="s">
        <v>6</v>
      </c>
      <c r="U78" s="11"/>
      <c r="V78" s="11"/>
      <c r="W78" s="11"/>
    </row>
    <row r="79" spans="1:23" x14ac:dyDescent="0.15">
      <c r="A79" s="6" t="s">
        <v>6</v>
      </c>
      <c r="C79" s="6" t="s">
        <v>5</v>
      </c>
      <c r="E79" s="6" t="s">
        <v>7</v>
      </c>
      <c r="G79" s="6" t="s">
        <v>8</v>
      </c>
      <c r="I79" s="6" t="s">
        <v>9</v>
      </c>
      <c r="K79" s="6" t="s">
        <v>6</v>
      </c>
      <c r="M79" s="6" t="s">
        <v>6</v>
      </c>
      <c r="O79" s="6" t="s">
        <v>6</v>
      </c>
      <c r="Q79" s="6" t="s">
        <v>6</v>
      </c>
      <c r="S79" s="8" t="s">
        <v>6</v>
      </c>
      <c r="U79" s="11"/>
      <c r="V79" s="11"/>
      <c r="W79" s="11"/>
    </row>
    <row r="80" spans="1:23" x14ac:dyDescent="0.15">
      <c r="A80" s="6" t="s">
        <v>6</v>
      </c>
      <c r="C80" s="6" t="s">
        <v>5</v>
      </c>
      <c r="E80" s="6" t="s">
        <v>7</v>
      </c>
      <c r="G80" s="6" t="s">
        <v>8</v>
      </c>
      <c r="I80" s="6" t="s">
        <v>9</v>
      </c>
      <c r="K80" s="6" t="s">
        <v>6</v>
      </c>
      <c r="M80" s="6" t="s">
        <v>6</v>
      </c>
      <c r="O80" s="6" t="s">
        <v>6</v>
      </c>
      <c r="Q80" s="6" t="s">
        <v>6</v>
      </c>
      <c r="S80" s="8" t="s">
        <v>6</v>
      </c>
      <c r="U80" s="11"/>
      <c r="V80" s="11"/>
      <c r="W80" s="11"/>
    </row>
    <row r="81" spans="1:23" x14ac:dyDescent="0.15">
      <c r="A81" s="6" t="s">
        <v>6</v>
      </c>
      <c r="C81" s="6" t="s">
        <v>5</v>
      </c>
      <c r="E81" s="6" t="s">
        <v>7</v>
      </c>
      <c r="G81" s="6" t="s">
        <v>8</v>
      </c>
      <c r="I81" s="6" t="s">
        <v>9</v>
      </c>
      <c r="K81" s="6" t="s">
        <v>6</v>
      </c>
      <c r="M81" s="6" t="s">
        <v>6</v>
      </c>
      <c r="O81" s="6" t="s">
        <v>6</v>
      </c>
      <c r="Q81" s="6" t="s">
        <v>6</v>
      </c>
      <c r="S81" s="8" t="s">
        <v>6</v>
      </c>
      <c r="U81" s="11"/>
      <c r="V81" s="11"/>
      <c r="W81" s="11"/>
    </row>
    <row r="82" spans="1:23" x14ac:dyDescent="0.15">
      <c r="A82" s="6" t="s">
        <v>6</v>
      </c>
      <c r="C82" s="6" t="s">
        <v>5</v>
      </c>
      <c r="E82" s="6" t="s">
        <v>7</v>
      </c>
      <c r="G82" s="6" t="s">
        <v>8</v>
      </c>
      <c r="I82" s="6" t="s">
        <v>9</v>
      </c>
      <c r="K82" s="6" t="s">
        <v>6</v>
      </c>
      <c r="M82" s="6" t="s">
        <v>6</v>
      </c>
      <c r="O82" s="6" t="s">
        <v>6</v>
      </c>
      <c r="Q82" s="6" t="s">
        <v>6</v>
      </c>
      <c r="S82" s="8" t="s">
        <v>6</v>
      </c>
      <c r="U82" s="11"/>
      <c r="V82" s="11"/>
      <c r="W82" s="11"/>
    </row>
    <row r="83" spans="1:23" x14ac:dyDescent="0.15">
      <c r="A83" s="6" t="s">
        <v>6</v>
      </c>
      <c r="C83" s="6" t="s">
        <v>5</v>
      </c>
      <c r="E83" s="6" t="s">
        <v>7</v>
      </c>
      <c r="G83" s="6" t="s">
        <v>8</v>
      </c>
      <c r="I83" s="6" t="s">
        <v>9</v>
      </c>
      <c r="K83" s="6" t="s">
        <v>6</v>
      </c>
      <c r="M83" s="6" t="s">
        <v>6</v>
      </c>
      <c r="O83" s="6" t="s">
        <v>6</v>
      </c>
      <c r="Q83" s="6" t="s">
        <v>6</v>
      </c>
      <c r="S83" s="8" t="s">
        <v>6</v>
      </c>
      <c r="U83" s="11"/>
      <c r="V83" s="11"/>
      <c r="W83" s="11"/>
    </row>
    <row r="84" spans="1:23" x14ac:dyDescent="0.15">
      <c r="A84" s="6" t="s">
        <v>6</v>
      </c>
      <c r="C84" s="6" t="s">
        <v>5</v>
      </c>
      <c r="E84" s="6" t="s">
        <v>7</v>
      </c>
      <c r="G84" s="6" t="s">
        <v>8</v>
      </c>
      <c r="I84" s="6" t="s">
        <v>9</v>
      </c>
      <c r="K84" s="6" t="s">
        <v>6</v>
      </c>
      <c r="M84" s="6" t="s">
        <v>6</v>
      </c>
      <c r="O84" s="6" t="s">
        <v>6</v>
      </c>
      <c r="Q84" s="6" t="s">
        <v>6</v>
      </c>
      <c r="S84" s="8" t="s">
        <v>6</v>
      </c>
      <c r="U84" s="11"/>
      <c r="V84" s="11"/>
      <c r="W84" s="11"/>
    </row>
    <row r="85" spans="1:23" x14ac:dyDescent="0.15">
      <c r="A85" s="6" t="s">
        <v>6</v>
      </c>
      <c r="C85" s="6" t="s">
        <v>5</v>
      </c>
      <c r="E85" s="6" t="s">
        <v>7</v>
      </c>
      <c r="G85" s="6" t="s">
        <v>8</v>
      </c>
      <c r="I85" s="6" t="s">
        <v>9</v>
      </c>
      <c r="K85" s="6" t="s">
        <v>6</v>
      </c>
      <c r="M85" s="6" t="s">
        <v>6</v>
      </c>
      <c r="O85" s="6" t="s">
        <v>6</v>
      </c>
      <c r="Q85" s="6" t="s">
        <v>6</v>
      </c>
      <c r="S85" s="8" t="s">
        <v>6</v>
      </c>
      <c r="U85" s="11"/>
      <c r="V85" s="11"/>
      <c r="W85" s="11"/>
    </row>
    <row r="86" spans="1:23" x14ac:dyDescent="0.15">
      <c r="A86" s="6" t="s">
        <v>6</v>
      </c>
      <c r="C86" s="6" t="s">
        <v>5</v>
      </c>
      <c r="E86" s="6" t="s">
        <v>7</v>
      </c>
      <c r="G86" s="6" t="s">
        <v>8</v>
      </c>
      <c r="I86" s="6" t="s">
        <v>9</v>
      </c>
      <c r="K86" s="6" t="s">
        <v>6</v>
      </c>
      <c r="M86" s="6" t="s">
        <v>6</v>
      </c>
      <c r="O86" s="6" t="s">
        <v>6</v>
      </c>
      <c r="Q86" s="6" t="s">
        <v>6</v>
      </c>
      <c r="S86" s="8" t="s">
        <v>6</v>
      </c>
      <c r="U86" s="11"/>
      <c r="V86" s="11"/>
      <c r="W86" s="11"/>
    </row>
    <row r="87" spans="1:23" x14ac:dyDescent="0.15">
      <c r="A87" s="6" t="s">
        <v>6</v>
      </c>
      <c r="C87" s="6" t="s">
        <v>5</v>
      </c>
      <c r="E87" s="6" t="s">
        <v>7</v>
      </c>
      <c r="G87" s="6" t="s">
        <v>8</v>
      </c>
      <c r="I87" s="6" t="s">
        <v>9</v>
      </c>
      <c r="K87" s="6" t="s">
        <v>6</v>
      </c>
      <c r="M87" s="6" t="s">
        <v>6</v>
      </c>
      <c r="O87" s="6" t="s">
        <v>6</v>
      </c>
      <c r="Q87" s="6" t="s">
        <v>6</v>
      </c>
      <c r="S87" s="8" t="s">
        <v>6</v>
      </c>
      <c r="U87" s="11"/>
      <c r="V87" s="11"/>
      <c r="W87" s="11"/>
    </row>
    <row r="88" spans="1:23" x14ac:dyDescent="0.15">
      <c r="A88" s="6" t="s">
        <v>6</v>
      </c>
      <c r="C88" s="6" t="s">
        <v>5</v>
      </c>
      <c r="E88" s="6" t="s">
        <v>7</v>
      </c>
      <c r="G88" s="6" t="s">
        <v>8</v>
      </c>
      <c r="I88" s="6" t="s">
        <v>9</v>
      </c>
      <c r="K88" s="6" t="s">
        <v>6</v>
      </c>
      <c r="M88" s="6" t="s">
        <v>6</v>
      </c>
      <c r="O88" s="6" t="s">
        <v>6</v>
      </c>
      <c r="Q88" s="6" t="s">
        <v>6</v>
      </c>
      <c r="S88" s="8" t="s">
        <v>6</v>
      </c>
      <c r="U88" s="11"/>
      <c r="V88" s="11"/>
      <c r="W88" s="11"/>
    </row>
    <row r="89" spans="1:23" x14ac:dyDescent="0.15">
      <c r="A89" s="6" t="s">
        <v>6</v>
      </c>
      <c r="C89" s="6" t="s">
        <v>5</v>
      </c>
      <c r="E89" s="6" t="s">
        <v>7</v>
      </c>
      <c r="G89" s="6" t="s">
        <v>8</v>
      </c>
      <c r="I89" s="6" t="s">
        <v>9</v>
      </c>
      <c r="K89" s="6" t="s">
        <v>6</v>
      </c>
      <c r="M89" s="6" t="s">
        <v>6</v>
      </c>
      <c r="O89" s="6" t="s">
        <v>6</v>
      </c>
      <c r="Q89" s="6" t="s">
        <v>6</v>
      </c>
      <c r="S89" s="8" t="s">
        <v>6</v>
      </c>
      <c r="U89" s="11"/>
      <c r="V89" s="11"/>
      <c r="W89" s="11"/>
    </row>
    <row r="90" spans="1:23" x14ac:dyDescent="0.15">
      <c r="A90" s="6" t="s">
        <v>6</v>
      </c>
      <c r="C90" s="6" t="s">
        <v>5</v>
      </c>
      <c r="E90" s="6" t="s">
        <v>7</v>
      </c>
      <c r="G90" s="6" t="s">
        <v>8</v>
      </c>
      <c r="I90" s="6" t="s">
        <v>9</v>
      </c>
      <c r="K90" s="6" t="s">
        <v>6</v>
      </c>
      <c r="M90" s="6" t="s">
        <v>6</v>
      </c>
      <c r="O90" s="6" t="s">
        <v>6</v>
      </c>
      <c r="Q90" s="6" t="s">
        <v>6</v>
      </c>
      <c r="S90" s="8" t="s">
        <v>6</v>
      </c>
      <c r="U90" s="11"/>
      <c r="V90" s="11"/>
      <c r="W90" s="11"/>
    </row>
    <row r="91" spans="1:23" x14ac:dyDescent="0.15">
      <c r="A91" s="6" t="s">
        <v>6</v>
      </c>
      <c r="C91" s="6" t="s">
        <v>5</v>
      </c>
      <c r="E91" s="6" t="s">
        <v>7</v>
      </c>
      <c r="G91" s="6" t="s">
        <v>8</v>
      </c>
      <c r="I91" s="6" t="s">
        <v>9</v>
      </c>
      <c r="K91" s="6" t="s">
        <v>6</v>
      </c>
      <c r="M91" s="6" t="s">
        <v>6</v>
      </c>
      <c r="O91" s="6" t="s">
        <v>6</v>
      </c>
      <c r="Q91" s="6" t="s">
        <v>6</v>
      </c>
      <c r="S91" s="8" t="s">
        <v>6</v>
      </c>
      <c r="U91" s="11"/>
      <c r="V91" s="11"/>
      <c r="W91" s="11"/>
    </row>
    <row r="92" spans="1:23" x14ac:dyDescent="0.15">
      <c r="A92" s="6" t="s">
        <v>6</v>
      </c>
      <c r="C92" s="6" t="s">
        <v>5</v>
      </c>
      <c r="E92" s="6" t="s">
        <v>7</v>
      </c>
      <c r="G92" s="6" t="s">
        <v>8</v>
      </c>
      <c r="I92" s="6" t="s">
        <v>9</v>
      </c>
      <c r="K92" s="6" t="s">
        <v>6</v>
      </c>
      <c r="M92" s="6" t="s">
        <v>6</v>
      </c>
      <c r="O92" s="6" t="s">
        <v>6</v>
      </c>
      <c r="Q92" s="6" t="s">
        <v>6</v>
      </c>
      <c r="S92" s="8" t="s">
        <v>6</v>
      </c>
      <c r="U92" s="11"/>
      <c r="V92" s="11"/>
      <c r="W92" s="11"/>
    </row>
    <row r="93" spans="1:23" x14ac:dyDescent="0.15">
      <c r="A93" s="6" t="s">
        <v>6</v>
      </c>
      <c r="C93" s="6" t="s">
        <v>5</v>
      </c>
      <c r="E93" s="6" t="s">
        <v>7</v>
      </c>
      <c r="G93" s="6" t="s">
        <v>8</v>
      </c>
      <c r="I93" s="6" t="s">
        <v>9</v>
      </c>
      <c r="K93" s="6" t="s">
        <v>6</v>
      </c>
      <c r="M93" s="6" t="s">
        <v>6</v>
      </c>
      <c r="O93" s="6" t="s">
        <v>6</v>
      </c>
      <c r="Q93" s="6" t="s">
        <v>6</v>
      </c>
      <c r="S93" s="8" t="s">
        <v>6</v>
      </c>
      <c r="U93" s="11"/>
      <c r="V93" s="11"/>
      <c r="W93" s="11"/>
    </row>
    <row r="94" spans="1:23" x14ac:dyDescent="0.15">
      <c r="A94" s="6" t="s">
        <v>6</v>
      </c>
      <c r="C94" s="6" t="s">
        <v>5</v>
      </c>
      <c r="E94" s="6" t="s">
        <v>7</v>
      </c>
      <c r="G94" s="6" t="s">
        <v>8</v>
      </c>
      <c r="I94" s="6" t="s">
        <v>9</v>
      </c>
      <c r="K94" s="6" t="s">
        <v>6</v>
      </c>
      <c r="M94" s="6" t="s">
        <v>6</v>
      </c>
      <c r="O94" s="6" t="s">
        <v>6</v>
      </c>
      <c r="Q94" s="6" t="s">
        <v>6</v>
      </c>
      <c r="S94" s="8" t="s">
        <v>6</v>
      </c>
      <c r="U94" s="11"/>
      <c r="V94" s="11"/>
      <c r="W94" s="11"/>
    </row>
    <row r="95" spans="1:23" x14ac:dyDescent="0.15">
      <c r="A95" s="6" t="s">
        <v>6</v>
      </c>
      <c r="C95" s="6" t="s">
        <v>5</v>
      </c>
      <c r="E95" s="6" t="s">
        <v>7</v>
      </c>
      <c r="G95" s="6" t="s">
        <v>8</v>
      </c>
      <c r="I95" s="6" t="s">
        <v>9</v>
      </c>
      <c r="K95" s="6" t="s">
        <v>6</v>
      </c>
      <c r="M95" s="6" t="s">
        <v>6</v>
      </c>
      <c r="O95" s="6" t="s">
        <v>6</v>
      </c>
      <c r="Q95" s="6" t="s">
        <v>6</v>
      </c>
      <c r="S95" s="8" t="s">
        <v>6</v>
      </c>
      <c r="U95" s="11"/>
      <c r="V95" s="11"/>
      <c r="W95" s="11"/>
    </row>
    <row r="96" spans="1:23" x14ac:dyDescent="0.15">
      <c r="A96" s="6" t="s">
        <v>6</v>
      </c>
      <c r="C96" s="6" t="s">
        <v>5</v>
      </c>
      <c r="E96" s="6" t="s">
        <v>7</v>
      </c>
      <c r="G96" s="6" t="s">
        <v>8</v>
      </c>
      <c r="I96" s="6" t="s">
        <v>9</v>
      </c>
      <c r="K96" s="6" t="s">
        <v>6</v>
      </c>
      <c r="M96" s="6" t="s">
        <v>6</v>
      </c>
      <c r="O96" s="6" t="s">
        <v>6</v>
      </c>
      <c r="Q96" s="6" t="s">
        <v>6</v>
      </c>
      <c r="S96" s="8" t="s">
        <v>6</v>
      </c>
      <c r="U96" s="11"/>
      <c r="V96" s="11"/>
      <c r="W96" s="11"/>
    </row>
    <row r="97" spans="1:25" x14ac:dyDescent="0.15">
      <c r="A97" s="6" t="s">
        <v>6</v>
      </c>
      <c r="C97" s="6" t="s">
        <v>5</v>
      </c>
      <c r="E97" s="6" t="s">
        <v>7</v>
      </c>
      <c r="G97" s="6" t="s">
        <v>8</v>
      </c>
      <c r="I97" s="6" t="s">
        <v>9</v>
      </c>
      <c r="K97" s="6" t="s">
        <v>6</v>
      </c>
      <c r="M97" s="6" t="s">
        <v>6</v>
      </c>
      <c r="O97" s="6" t="s">
        <v>6</v>
      </c>
      <c r="Q97" s="6" t="s">
        <v>6</v>
      </c>
      <c r="S97" s="8" t="s">
        <v>6</v>
      </c>
      <c r="U97" s="11"/>
      <c r="V97" s="11"/>
      <c r="W97" s="11"/>
    </row>
    <row r="98" spans="1:25" x14ac:dyDescent="0.15">
      <c r="A98" s="6" t="s">
        <v>6</v>
      </c>
      <c r="C98" s="6" t="s">
        <v>5</v>
      </c>
      <c r="E98" s="6" t="s">
        <v>7</v>
      </c>
      <c r="G98" s="6" t="s">
        <v>8</v>
      </c>
      <c r="I98" s="6" t="s">
        <v>9</v>
      </c>
      <c r="K98" s="6" t="s">
        <v>6</v>
      </c>
      <c r="M98" s="6" t="s">
        <v>6</v>
      </c>
      <c r="O98" s="6" t="s">
        <v>6</v>
      </c>
      <c r="Q98" s="6" t="s">
        <v>6</v>
      </c>
      <c r="S98" s="8" t="s">
        <v>6</v>
      </c>
      <c r="U98" s="11"/>
      <c r="V98" s="11"/>
      <c r="W98" s="11"/>
    </row>
    <row r="99" spans="1:25" x14ac:dyDescent="0.15">
      <c r="A99" s="6" t="s">
        <v>6</v>
      </c>
      <c r="C99" s="6" t="s">
        <v>5</v>
      </c>
      <c r="E99" s="6" t="s">
        <v>7</v>
      </c>
      <c r="G99" s="6" t="s">
        <v>8</v>
      </c>
      <c r="I99" s="6" t="s">
        <v>9</v>
      </c>
      <c r="K99" s="6" t="s">
        <v>6</v>
      </c>
      <c r="M99" s="6" t="s">
        <v>6</v>
      </c>
      <c r="O99" s="6" t="s">
        <v>6</v>
      </c>
      <c r="Q99" s="6" t="s">
        <v>6</v>
      </c>
      <c r="S99" s="8" t="s">
        <v>6</v>
      </c>
      <c r="U99" s="11"/>
      <c r="V99" s="11"/>
      <c r="W99" s="11"/>
    </row>
    <row r="100" spans="1:25" x14ac:dyDescent="0.15">
      <c r="A100" s="6" t="s">
        <v>6</v>
      </c>
      <c r="C100" s="6" t="s">
        <v>5</v>
      </c>
      <c r="E100" s="6" t="s">
        <v>7</v>
      </c>
      <c r="G100" s="6" t="s">
        <v>8</v>
      </c>
      <c r="I100" s="6" t="s">
        <v>9</v>
      </c>
      <c r="K100" s="6" t="s">
        <v>6</v>
      </c>
      <c r="M100" s="6" t="s">
        <v>6</v>
      </c>
      <c r="O100" s="6" t="s">
        <v>6</v>
      </c>
      <c r="Q100" s="6" t="s">
        <v>6</v>
      </c>
      <c r="S100" s="8" t="s">
        <v>6</v>
      </c>
      <c r="U100" s="11"/>
      <c r="V100" s="11"/>
      <c r="W100" s="11"/>
    </row>
    <row r="101" spans="1:25" x14ac:dyDescent="0.15">
      <c r="A101" s="6" t="s">
        <v>6</v>
      </c>
      <c r="C101" s="6" t="s">
        <v>5</v>
      </c>
      <c r="E101" s="6" t="s">
        <v>7</v>
      </c>
      <c r="G101" s="6" t="s">
        <v>8</v>
      </c>
      <c r="I101" s="6" t="s">
        <v>9</v>
      </c>
      <c r="K101" s="6" t="s">
        <v>6</v>
      </c>
      <c r="M101" s="6" t="s">
        <v>6</v>
      </c>
      <c r="O101" s="6" t="s">
        <v>6</v>
      </c>
      <c r="Q101" s="6" t="s">
        <v>6</v>
      </c>
      <c r="S101" s="8" t="s">
        <v>6</v>
      </c>
      <c r="U101" s="11"/>
      <c r="V101" s="11"/>
      <c r="W101" s="11"/>
    </row>
    <row r="102" spans="1:25" x14ac:dyDescent="0.15">
      <c r="A102" s="6" t="s">
        <v>6</v>
      </c>
      <c r="C102" s="6" t="s">
        <v>5</v>
      </c>
      <c r="E102" s="6" t="s">
        <v>7</v>
      </c>
      <c r="G102" s="6" t="s">
        <v>8</v>
      </c>
      <c r="I102" s="6" t="s">
        <v>9</v>
      </c>
      <c r="K102" s="6" t="s">
        <v>6</v>
      </c>
      <c r="M102" s="6" t="s">
        <v>6</v>
      </c>
      <c r="O102" s="6" t="s">
        <v>6</v>
      </c>
      <c r="Q102" s="6" t="s">
        <v>6</v>
      </c>
      <c r="S102" s="8" t="s">
        <v>6</v>
      </c>
      <c r="U102" s="11"/>
      <c r="V102" s="11"/>
      <c r="W102" s="11"/>
    </row>
    <row r="112" spans="1:25" x14ac:dyDescent="0.15">
      <c r="D112" s="6">
        <f>COUNTIF(D3:D102,"&lt;&gt;0")</f>
        <v>100</v>
      </c>
      <c r="F112" s="6" t="e">
        <f>SUMPRODUCT(1/COUNTIF(D3:D102,D3:D102))-1</f>
        <v>#DIV/0!</v>
      </c>
      <c r="J112" s="6">
        <f>SUM(J3:J102)</f>
        <v>38.318000000000005</v>
      </c>
      <c r="P112" s="6">
        <f>SUM(P3:P102)</f>
        <v>1062</v>
      </c>
      <c r="Y112" s="6">
        <f>MAX(Y3:Y102)</f>
        <v>21</v>
      </c>
    </row>
  </sheetData>
  <sortState ref="D3:Z102">
    <sortCondition descending="1" ref="R1"/>
    <sortCondition descending="1" ref="U1"/>
  </sortState>
  <phoneticPr fontId="19" type="noConversion"/>
  <pageMargins left="0.7" right="0.7" top="0.75" bottom="0.75" header="0.3" footer="0.3"/>
  <pageSetup paperSize="9" orientation="portrait" r:id="rId1"/>
  <drawing r:id="rId2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4E04F90F-1CF7-4EC4-AFF1-4640CA9C31A6}">
  <sheetPr codeName="Sheet9"/>
  <dimension ref="A1:B97"/>
  <sheetViews>
    <sheetView workbookViewId="0">
      <selection activeCell="B2" sqref="B2"/>
    </sheetView>
  </sheetViews>
  <sheetFormatPr defaultRowHeight="13.5" x14ac:dyDescent="0.15"/>
  <sheetData>
    <row r="1" spans="1:2" x14ac:dyDescent="0.15">
      <c r="A1" t="s">
        <v>69</v>
      </c>
      <c r="B1">
        <v>97</v>
      </c>
    </row>
    <row r="2" spans="1:2" x14ac:dyDescent="0.15">
      <c r="A2" t="s">
        <v>46</v>
      </c>
    </row>
    <row r="3" spans="1:2" x14ac:dyDescent="0.15">
      <c r="A3" t="s">
        <v>100</v>
      </c>
    </row>
    <row r="4" spans="1:2" x14ac:dyDescent="0.15">
      <c r="A4" t="s">
        <v>81</v>
      </c>
    </row>
    <row r="5" spans="1:2" x14ac:dyDescent="0.15">
      <c r="A5" t="s">
        <v>82</v>
      </c>
    </row>
    <row r="6" spans="1:2" x14ac:dyDescent="0.15">
      <c r="A6" t="s">
        <v>70</v>
      </c>
    </row>
    <row r="7" spans="1:2" x14ac:dyDescent="0.15">
      <c r="A7" t="s">
        <v>131</v>
      </c>
    </row>
    <row r="8" spans="1:2" x14ac:dyDescent="0.15">
      <c r="A8" t="s">
        <v>112</v>
      </c>
    </row>
    <row r="9" spans="1:2" x14ac:dyDescent="0.15">
      <c r="A9" t="s">
        <v>110</v>
      </c>
    </row>
    <row r="10" spans="1:2" x14ac:dyDescent="0.15">
      <c r="A10" t="s">
        <v>87</v>
      </c>
    </row>
    <row r="11" spans="1:2" x14ac:dyDescent="0.15">
      <c r="A11" t="s">
        <v>114</v>
      </c>
    </row>
    <row r="12" spans="1:2" x14ac:dyDescent="0.15">
      <c r="A12" t="s">
        <v>47</v>
      </c>
    </row>
    <row r="13" spans="1:2" x14ac:dyDescent="0.15">
      <c r="A13" t="s">
        <v>83</v>
      </c>
    </row>
    <row r="14" spans="1:2" x14ac:dyDescent="0.15">
      <c r="A14" t="s">
        <v>48</v>
      </c>
    </row>
    <row r="15" spans="1:2" x14ac:dyDescent="0.15">
      <c r="A15" t="s">
        <v>121</v>
      </c>
    </row>
    <row r="16" spans="1:2" x14ac:dyDescent="0.15">
      <c r="A16" t="s">
        <v>109</v>
      </c>
    </row>
    <row r="17" spans="1:1" x14ac:dyDescent="0.15">
      <c r="A17" t="s">
        <v>124</v>
      </c>
    </row>
    <row r="18" spans="1:1" x14ac:dyDescent="0.15">
      <c r="A18" t="s">
        <v>107</v>
      </c>
    </row>
    <row r="19" spans="1:1" x14ac:dyDescent="0.15">
      <c r="A19" t="s">
        <v>49</v>
      </c>
    </row>
    <row r="20" spans="1:1" x14ac:dyDescent="0.15">
      <c r="A20" t="s">
        <v>111</v>
      </c>
    </row>
    <row r="21" spans="1:1" x14ac:dyDescent="0.15">
      <c r="A21" t="s">
        <v>50</v>
      </c>
    </row>
    <row r="22" spans="1:1" x14ac:dyDescent="0.15">
      <c r="A22" t="s">
        <v>72</v>
      </c>
    </row>
    <row r="23" spans="1:1" x14ac:dyDescent="0.15">
      <c r="A23" t="s">
        <v>51</v>
      </c>
    </row>
    <row r="24" spans="1:1" x14ac:dyDescent="0.15">
      <c r="A24" t="s">
        <v>52</v>
      </c>
    </row>
    <row r="25" spans="1:1" x14ac:dyDescent="0.15">
      <c r="A25" t="s">
        <v>53</v>
      </c>
    </row>
    <row r="26" spans="1:1" x14ac:dyDescent="0.15">
      <c r="A26" t="s">
        <v>54</v>
      </c>
    </row>
    <row r="27" spans="1:1" x14ac:dyDescent="0.15">
      <c r="A27" t="s">
        <v>55</v>
      </c>
    </row>
    <row r="28" spans="1:1" x14ac:dyDescent="0.15">
      <c r="A28" t="s">
        <v>101</v>
      </c>
    </row>
    <row r="29" spans="1:1" x14ac:dyDescent="0.15">
      <c r="A29" t="s">
        <v>118</v>
      </c>
    </row>
    <row r="30" spans="1:1" x14ac:dyDescent="0.15">
      <c r="A30" t="s">
        <v>84</v>
      </c>
    </row>
    <row r="31" spans="1:1" x14ac:dyDescent="0.15">
      <c r="A31" t="s">
        <v>126</v>
      </c>
    </row>
    <row r="32" spans="1:1" x14ac:dyDescent="0.15">
      <c r="A32" t="s">
        <v>56</v>
      </c>
    </row>
    <row r="33" spans="1:1" x14ac:dyDescent="0.15">
      <c r="A33" t="s">
        <v>85</v>
      </c>
    </row>
    <row r="34" spans="1:1" x14ac:dyDescent="0.15">
      <c r="A34" t="s">
        <v>57</v>
      </c>
    </row>
    <row r="35" spans="1:1" x14ac:dyDescent="0.15">
      <c r="A35" t="s">
        <v>129</v>
      </c>
    </row>
    <row r="36" spans="1:1" x14ac:dyDescent="0.15">
      <c r="A36" t="s">
        <v>102</v>
      </c>
    </row>
    <row r="37" spans="1:1" x14ac:dyDescent="0.15">
      <c r="A37" t="s">
        <v>122</v>
      </c>
    </row>
    <row r="38" spans="1:1" x14ac:dyDescent="0.15">
      <c r="A38" t="s">
        <v>103</v>
      </c>
    </row>
    <row r="39" spans="1:1" x14ac:dyDescent="0.15">
      <c r="A39" t="s">
        <v>88</v>
      </c>
    </row>
    <row r="40" spans="1:1" x14ac:dyDescent="0.15">
      <c r="A40" t="s">
        <v>130</v>
      </c>
    </row>
    <row r="41" spans="1:1" x14ac:dyDescent="0.15">
      <c r="A41" t="s">
        <v>99</v>
      </c>
    </row>
    <row r="42" spans="1:1" x14ac:dyDescent="0.15">
      <c r="A42" t="s">
        <v>89</v>
      </c>
    </row>
    <row r="43" spans="1:1" x14ac:dyDescent="0.15">
      <c r="A43" t="s">
        <v>71</v>
      </c>
    </row>
    <row r="44" spans="1:1" x14ac:dyDescent="0.15">
      <c r="A44" t="s">
        <v>90</v>
      </c>
    </row>
    <row r="45" spans="1:1" x14ac:dyDescent="0.15">
      <c r="A45" t="s">
        <v>74</v>
      </c>
    </row>
    <row r="46" spans="1:1" x14ac:dyDescent="0.15">
      <c r="A46" t="s">
        <v>104</v>
      </c>
    </row>
    <row r="47" spans="1:1" x14ac:dyDescent="0.15">
      <c r="A47" t="s">
        <v>119</v>
      </c>
    </row>
    <row r="48" spans="1:1" x14ac:dyDescent="0.15">
      <c r="A48" t="s">
        <v>58</v>
      </c>
    </row>
    <row r="49" spans="1:1" x14ac:dyDescent="0.15">
      <c r="A49" t="s">
        <v>120</v>
      </c>
    </row>
    <row r="50" spans="1:1" x14ac:dyDescent="0.15">
      <c r="A50" t="s">
        <v>59</v>
      </c>
    </row>
    <row r="51" spans="1:1" x14ac:dyDescent="0.15">
      <c r="A51" t="s">
        <v>91</v>
      </c>
    </row>
    <row r="52" spans="1:1" x14ac:dyDescent="0.15">
      <c r="A52" t="s">
        <v>115</v>
      </c>
    </row>
    <row r="53" spans="1:1" x14ac:dyDescent="0.15">
      <c r="A53" t="s">
        <v>92</v>
      </c>
    </row>
    <row r="54" spans="1:1" x14ac:dyDescent="0.15">
      <c r="A54" t="s">
        <v>75</v>
      </c>
    </row>
    <row r="55" spans="1:1" x14ac:dyDescent="0.15">
      <c r="A55" t="s">
        <v>108</v>
      </c>
    </row>
    <row r="56" spans="1:1" x14ac:dyDescent="0.15">
      <c r="A56" t="s">
        <v>36</v>
      </c>
    </row>
    <row r="57" spans="1:1" x14ac:dyDescent="0.15">
      <c r="A57" t="s">
        <v>37</v>
      </c>
    </row>
    <row r="58" spans="1:1" x14ac:dyDescent="0.15">
      <c r="A58" t="s">
        <v>38</v>
      </c>
    </row>
    <row r="59" spans="1:1" x14ac:dyDescent="0.15">
      <c r="A59" t="s">
        <v>39</v>
      </c>
    </row>
    <row r="60" spans="1:1" x14ac:dyDescent="0.15">
      <c r="A60" t="s">
        <v>40</v>
      </c>
    </row>
    <row r="61" spans="1:1" x14ac:dyDescent="0.15">
      <c r="A61" t="s">
        <v>41</v>
      </c>
    </row>
    <row r="62" spans="1:1" x14ac:dyDescent="0.15">
      <c r="A62" t="s">
        <v>42</v>
      </c>
    </row>
    <row r="63" spans="1:1" x14ac:dyDescent="0.15">
      <c r="A63" t="s">
        <v>43</v>
      </c>
    </row>
    <row r="64" spans="1:1" x14ac:dyDescent="0.15">
      <c r="A64" t="s">
        <v>44</v>
      </c>
    </row>
    <row r="65" spans="1:1" x14ac:dyDescent="0.15">
      <c r="A65" t="s">
        <v>45</v>
      </c>
    </row>
    <row r="66" spans="1:1" x14ac:dyDescent="0.15">
      <c r="A66" t="s">
        <v>117</v>
      </c>
    </row>
    <row r="67" spans="1:1" x14ac:dyDescent="0.15">
      <c r="A67" t="s">
        <v>116</v>
      </c>
    </row>
    <row r="68" spans="1:1" x14ac:dyDescent="0.15">
      <c r="A68" t="s">
        <v>60</v>
      </c>
    </row>
    <row r="69" spans="1:1" x14ac:dyDescent="0.15">
      <c r="A69" t="s">
        <v>76</v>
      </c>
    </row>
    <row r="70" spans="1:1" x14ac:dyDescent="0.15">
      <c r="A70" t="s">
        <v>61</v>
      </c>
    </row>
    <row r="71" spans="1:1" x14ac:dyDescent="0.15">
      <c r="A71" t="s">
        <v>77</v>
      </c>
    </row>
    <row r="72" spans="1:1" x14ac:dyDescent="0.15">
      <c r="A72" t="s">
        <v>123</v>
      </c>
    </row>
    <row r="73" spans="1:1" x14ac:dyDescent="0.15">
      <c r="A73" t="s">
        <v>78</v>
      </c>
    </row>
    <row r="74" spans="1:1" x14ac:dyDescent="0.15">
      <c r="A74" t="s">
        <v>127</v>
      </c>
    </row>
    <row r="75" spans="1:1" x14ac:dyDescent="0.15">
      <c r="A75" t="s">
        <v>132</v>
      </c>
    </row>
    <row r="76" spans="1:1" x14ac:dyDescent="0.15">
      <c r="A76" t="s">
        <v>93</v>
      </c>
    </row>
    <row r="77" spans="1:1" x14ac:dyDescent="0.15">
      <c r="A77" t="s">
        <v>94</v>
      </c>
    </row>
    <row r="78" spans="1:1" x14ac:dyDescent="0.15">
      <c r="A78" t="s">
        <v>79</v>
      </c>
    </row>
    <row r="79" spans="1:1" x14ac:dyDescent="0.15">
      <c r="A79" t="s">
        <v>73</v>
      </c>
    </row>
    <row r="80" spans="1:1" x14ac:dyDescent="0.15">
      <c r="A80" t="s">
        <v>62</v>
      </c>
    </row>
    <row r="81" spans="1:1" x14ac:dyDescent="0.15">
      <c r="A81" t="s">
        <v>63</v>
      </c>
    </row>
    <row r="82" spans="1:1" x14ac:dyDescent="0.15">
      <c r="A82" t="s">
        <v>64</v>
      </c>
    </row>
    <row r="83" spans="1:1" x14ac:dyDescent="0.15">
      <c r="A83" t="s">
        <v>86</v>
      </c>
    </row>
    <row r="84" spans="1:1" x14ac:dyDescent="0.15">
      <c r="A84" t="s">
        <v>95</v>
      </c>
    </row>
    <row r="85" spans="1:1" x14ac:dyDescent="0.15">
      <c r="A85" t="s">
        <v>105</v>
      </c>
    </row>
    <row r="86" spans="1:1" x14ac:dyDescent="0.15">
      <c r="A86" t="s">
        <v>128</v>
      </c>
    </row>
    <row r="87" spans="1:1" x14ac:dyDescent="0.15">
      <c r="A87" t="s">
        <v>97</v>
      </c>
    </row>
    <row r="88" spans="1:1" x14ac:dyDescent="0.15">
      <c r="A88" t="s">
        <v>96</v>
      </c>
    </row>
    <row r="89" spans="1:1" x14ac:dyDescent="0.15">
      <c r="A89" t="s">
        <v>113</v>
      </c>
    </row>
    <row r="90" spans="1:1" x14ac:dyDescent="0.15">
      <c r="A90" t="s">
        <v>125</v>
      </c>
    </row>
    <row r="91" spans="1:1" x14ac:dyDescent="0.15">
      <c r="A91" t="s">
        <v>106</v>
      </c>
    </row>
    <row r="92" spans="1:1" x14ac:dyDescent="0.15">
      <c r="A92" t="s">
        <v>65</v>
      </c>
    </row>
    <row r="93" spans="1:1" x14ac:dyDescent="0.15">
      <c r="A93" t="s">
        <v>66</v>
      </c>
    </row>
    <row r="94" spans="1:1" x14ac:dyDescent="0.15">
      <c r="A94" t="s">
        <v>67</v>
      </c>
    </row>
    <row r="95" spans="1:1" x14ac:dyDescent="0.15">
      <c r="A95" t="s">
        <v>68</v>
      </c>
    </row>
    <row r="96" spans="1:1" x14ac:dyDescent="0.15">
      <c r="A96" t="s">
        <v>80</v>
      </c>
    </row>
    <row r="97" spans="1:1" x14ac:dyDescent="0.15">
      <c r="A97" t="s">
        <v>98</v>
      </c>
    </row>
  </sheetData>
  <sortState ref="A1:A99">
    <sortCondition ref="A1:A99"/>
  </sortState>
  <phoneticPr fontId="19" type="noConversion"/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工作表</vt:lpstr>
      </vt:variant>
      <vt:variant>
        <vt:i4>4</vt:i4>
      </vt:variant>
    </vt:vector>
  </HeadingPairs>
  <TitlesOfParts>
    <vt:vector size="4" baseType="lpstr">
      <vt:lpstr>复制</vt:lpstr>
      <vt:lpstr>列表</vt:lpstr>
      <vt:lpstr>奖</vt:lpstr>
      <vt:lpstr>奖项</vt:lpstr>
    </vt:vector>
  </TitlesOfParts>
  <Company>微软中国</Company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微软用户</dc:creator>
  <cp:lastModifiedBy>Administrator</cp:lastModifiedBy>
  <dcterms:created xsi:type="dcterms:W3CDTF">2018-02-09T16:57:48Z</dcterms:created>
  <dcterms:modified xsi:type="dcterms:W3CDTF">2018-04-09T12:38:38Z</dcterms:modified>
</cp:coreProperties>
</file>